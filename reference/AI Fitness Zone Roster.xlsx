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Staff Calendar View" sheetId="1" r:id="rId5"/>
    <sheet state="visible" name="Webinar  Training Attendance " sheetId="2" r:id="rId6"/>
    <sheet state="hidden" name="3 - Shift Data (auto)" sheetId="3" r:id="rId7"/>
  </sheets>
  <definedNames/>
  <calcPr/>
</workbook>
</file>

<file path=xl/sharedStrings.xml><?xml version="1.0" encoding="utf-8"?>
<sst xmlns="http://schemas.openxmlformats.org/spreadsheetml/2006/main" count="249" uniqueCount="102">
  <si>
    <t>Date</t>
  </si>
  <si>
    <t>AI Fitness Trainers Master Schedule</t>
  </si>
  <si>
    <t>Week</t>
  </si>
  <si>
    <t>Time (AEST)</t>
  </si>
  <si>
    <t>Duration</t>
  </si>
  <si>
    <t>Day</t>
  </si>
  <si>
    <t>Session Title</t>
  </si>
  <si>
    <t>Location / Type</t>
  </si>
  <si>
    <t>DeepNeuron Trainers</t>
  </si>
  <si>
    <t>Time</t>
  </si>
  <si>
    <t>Staff</t>
  </si>
  <si>
    <t>Working With</t>
  </si>
  <si>
    <t>Week Controls</t>
  </si>
  <si>
    <t>1 hr</t>
  </si>
  <si>
    <t>Become AI Native</t>
  </si>
  <si>
    <t>MatchRank</t>
  </si>
  <si>
    <t>Edit a Monday date to shift that week block.</t>
  </si>
  <si>
    <t>Advay Kumar, Sener Sethi, Cass Whitehead, Grace Moss</t>
  </si>
  <si>
    <t>NotebookLM: Unlock Your Knowledge With AI</t>
  </si>
  <si>
    <t xml:space="preserve">Sener Sethi, Yunsoo Jin, Daksh Malhotra </t>
  </si>
  <si>
    <t>7 hrs</t>
  </si>
  <si>
    <t>Gemini Certification for Trainers</t>
  </si>
  <si>
    <t>Matthew Chung, Daksh Malhotra, Advay Kumar, Omila herath (attending training) Hailey Moffatt (attending training)</t>
  </si>
  <si>
    <t>Advanced AI: Agents</t>
  </si>
  <si>
    <t xml:space="preserve">Matthew Chung, Cass Whitehead </t>
  </si>
  <si>
    <t>AI at Monash: a practical introduction</t>
  </si>
  <si>
    <t>Hailey Moffatt, Iris Nguyen</t>
  </si>
  <si>
    <t xml:space="preserve">Creating Presentation Materials with Gemini </t>
  </si>
  <si>
    <t>Ekachit Hurreeram, Cass Whitehead</t>
  </si>
  <si>
    <t>Wk 11</t>
  </si>
  <si>
    <t>Clayton Drop-in</t>
  </si>
  <si>
    <t>Sener</t>
  </si>
  <si>
    <t>Deep Dive into Gemini Deep Research</t>
  </si>
  <si>
    <t>Omila</t>
  </si>
  <si>
    <t>Cass Whitehead, Daksh Malhotra</t>
  </si>
  <si>
    <t>Wk 11 start (Mon)</t>
  </si>
  <si>
    <t>Image creation with Gemini</t>
  </si>
  <si>
    <t xml:space="preserve">Ekachit Hurreeram, </t>
  </si>
  <si>
    <t xml:space="preserve">Tues, 30 June </t>
  </si>
  <si>
    <t xml:space="preserve">1 hr </t>
  </si>
  <si>
    <t>Ekachit Hurreeram, Omila Herath</t>
  </si>
  <si>
    <t>Ekachit</t>
  </si>
  <si>
    <t>Advanced AI: Context Engineering</t>
  </si>
  <si>
    <t>Cass Whitehead, Advay Kumar</t>
  </si>
  <si>
    <t>Advay</t>
  </si>
  <si>
    <r>
      <rPr>
        <rFont val="Calibri"/>
        <b/>
        <color rgb="FFFF0000"/>
      </rPr>
      <t>ON HOLD:</t>
    </r>
    <r>
      <rPr>
        <rFont val="Calibri"/>
        <color theme="1"/>
      </rPr>
      <t xml:space="preserve"> Introduction to Gemini Part 1 (Gems, Guided Learning &amp; Canvas)</t>
    </r>
  </si>
  <si>
    <t>Caulfield Drop-in</t>
  </si>
  <si>
    <t>Advanced AI: How Models Work</t>
  </si>
  <si>
    <t>Hailey</t>
  </si>
  <si>
    <t>Jamein</t>
  </si>
  <si>
    <t xml:space="preserve">Sener </t>
  </si>
  <si>
    <t>Wk 12 start (Mon)</t>
  </si>
  <si>
    <t>Webinar Faciliator</t>
  </si>
  <si>
    <t>Webinar Support</t>
  </si>
  <si>
    <t>Grace</t>
  </si>
  <si>
    <t xml:space="preserve">DSRE All Hands Event </t>
  </si>
  <si>
    <t>Wk 13 start (Mon)</t>
  </si>
  <si>
    <t xml:space="preserve">Gemini Training </t>
  </si>
  <si>
    <t>All Staff</t>
  </si>
  <si>
    <t>Wk 14 start (Mon)</t>
  </si>
  <si>
    <t>Wk 12</t>
  </si>
  <si>
    <t>Jaemin</t>
  </si>
  <si>
    <t>Wk 15 start (Mon)</t>
  </si>
  <si>
    <t>Cass</t>
  </si>
  <si>
    <t xml:space="preserve">Climate Change Remote Drop-In </t>
  </si>
  <si>
    <t xml:space="preserve">Cass </t>
  </si>
  <si>
    <r>
      <rPr>
        <rFont val="Arial"/>
        <b/>
        <color rgb="FFFFFFFF"/>
        <sz val="10.0"/>
      </rPr>
      <t xml:space="preserve">Webinars Support
</t>
    </r>
    <r>
      <rPr>
        <rFont val="Arial"/>
        <b val="0"/>
        <color rgb="FFFFFFFF"/>
        <sz val="10.0"/>
      </rPr>
      <t>Advanced AI: How Do AI Models Work?</t>
    </r>
  </si>
  <si>
    <t>Wk 16 start (Mon)</t>
  </si>
  <si>
    <t>In Person Sessions</t>
  </si>
  <si>
    <t>Wk 17 start (Mon)</t>
  </si>
  <si>
    <t>Wk 18 start (Mon)</t>
  </si>
  <si>
    <t>Wk 13</t>
  </si>
  <si>
    <t>Yunsoo</t>
  </si>
  <si>
    <t>Iris</t>
  </si>
  <si>
    <t>Wk 19 start (Mon)</t>
  </si>
  <si>
    <t>Josh (shadowing)</t>
  </si>
  <si>
    <t>10:40AM-2:20PM</t>
  </si>
  <si>
    <t>Webinars</t>
  </si>
  <si>
    <t>4:00PM-5:00PM</t>
  </si>
  <si>
    <t>Training</t>
  </si>
  <si>
    <t>9:00AM-10:30AM</t>
  </si>
  <si>
    <t>Wk 14</t>
  </si>
  <si>
    <t xml:space="preserve">Hailey </t>
  </si>
  <si>
    <t>Josh</t>
  </si>
  <si>
    <t xml:space="preserve">Omila </t>
  </si>
  <si>
    <t>In Person Session</t>
  </si>
  <si>
    <t>Wk 15</t>
  </si>
  <si>
    <t>Peninsula Remote Drop-In</t>
  </si>
  <si>
    <t>Wk 16</t>
  </si>
  <si>
    <t xml:space="preserve">Jaemin </t>
  </si>
  <si>
    <t xml:space="preserve">Ekachit </t>
  </si>
  <si>
    <t>Wk 17</t>
  </si>
  <si>
    <t>Wk 18</t>
  </si>
  <si>
    <t>Wk 19</t>
  </si>
  <si>
    <t>Legend</t>
  </si>
  <si>
    <t>Blue text in the grid</t>
  </si>
  <si>
    <t>Type one name per row — each shift has a Staff 1 and Staff 2 row. Leave as ‘-’ if unfilled.</t>
  </si>
  <si>
    <t>Yellow cell (right)</t>
  </si>
  <si>
    <t>Editable settings — Monday date per week, and the default time per Location/Type.</t>
  </si>
  <si>
    <t>"-"</t>
  </si>
  <si>
    <t>No one currently rostered for that slot.</t>
  </si>
  <si>
    <t>Need a 3rd person on one shift? Insert an extra row inside that Location/Type block and copy its formatting — My Shifts will still find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</si>
</sst>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d, d mmmm"/>
    <numFmt numFmtId="165" formatCode="hh:mm"/>
    <numFmt numFmtId="166" formatCode="d mmmm"/>
    <numFmt numFmtId="167" formatCode="d\ mmm\ yyyy"/>
    <numFmt numFmtId="168" formatCode="ddd\ d\ mmm"/>
  </numFmts>
  <fonts count="17">
    <font>
      <sz val="10.0"/>
      <color rgb="FF000000"/>
      <name val="Calibri"/>
      <scheme val="minor"/>
    </font>
    <font>
      <b/>
      <color rgb="FF000000"/>
      <name val="Calibri"/>
    </font>
    <font>
      <b/>
      <sz val="14.0"/>
      <color rgb="FFFFFFFF"/>
      <name val="Arial"/>
    </font>
    <font>
      <b/>
      <sz val="10.0"/>
      <color rgb="FFFFFFFF"/>
      <name val="Arial"/>
    </font>
    <font/>
    <font>
      <b/>
      <color theme="1"/>
      <name val="Calibri"/>
    </font>
    <font>
      <color theme="1"/>
      <name val="Calibri"/>
    </font>
    <font>
      <b/>
      <sz val="11.0"/>
      <color theme="1"/>
      <name val="Arial"/>
    </font>
    <font>
      <i/>
      <sz val="9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rgb="FF1F3A5F"/>
      <name val="Arial"/>
    </font>
    <font>
      <sz val="10.0"/>
      <color rgb="FF0000FF"/>
      <name val="Arial"/>
    </font>
    <font>
      <sz val="10.0"/>
      <color theme="1"/>
      <name val="Arial"/>
    </font>
    <font>
      <b/>
      <sz val="10.0"/>
      <color rgb="FF0000FF"/>
      <name val="Arial"/>
    </font>
    <font>
      <i/>
      <sz val="10.0"/>
      <color theme="1"/>
      <name val="Arial"/>
    </font>
    <font>
      <i/>
      <sz val="9.0"/>
      <color rgb="FF666666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1F3A5F"/>
        <bgColor rgb="FF1F3A5F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17293F"/>
        <bgColor rgb="FF17293F"/>
      </patternFill>
    </fill>
    <fill>
      <patternFill patternType="solid">
        <fgColor rgb="FFF2F4F7"/>
        <bgColor rgb="FFF2F4F7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1E7145"/>
        <bgColor rgb="FF1E7145"/>
      </patternFill>
    </fill>
    <fill>
      <patternFill patternType="solid">
        <fgColor rgb="FF6A1B9A"/>
        <bgColor rgb="FF6A1B9A"/>
      </patternFill>
    </fill>
    <fill>
      <patternFill patternType="solid">
        <fgColor rgb="FFD9791C"/>
        <bgColor rgb="FFD9791C"/>
      </patternFill>
    </fill>
    <fill>
      <patternFill patternType="solid">
        <fgColor rgb="FFB00020"/>
        <bgColor rgb="FFB00020"/>
      </patternFill>
    </fill>
  </fills>
  <borders count="1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top/>
      <bottom/>
    </border>
    <border>
      <left/>
      <right/>
      <top/>
      <bottom/>
    </border>
    <border>
      <top/>
      <bottom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D0D5DD"/>
      </left>
      <right style="thin">
        <color rgb="FFD0D5DD"/>
      </right>
      <top style="thin">
        <color rgb="FFD0D5DD"/>
      </top>
    </border>
    <border>
      <left style="thin">
        <color rgb="FFD0D5DD"/>
      </left>
      <right style="thin">
        <color rgb="FFD0D5DD"/>
      </right>
    </border>
    <border>
      <left style="thin">
        <color rgb="FFD0D5DD"/>
      </left>
      <right style="thin">
        <color rgb="FFD0D5DD"/>
      </right>
      <bottom style="thin">
        <color rgb="FFD0D5DD"/>
      </bottom>
    </border>
    <border>
      <left style="thin">
        <color rgb="FFD0D5DD"/>
      </left>
      <top style="thin">
        <color rgb="FFD0D5DD"/>
      </top>
      <bottom style="thin">
        <color rgb="FFD0D5D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0D5DD"/>
      </right>
      <top style="thin">
        <color rgb="FFD0D5DD"/>
      </top>
      <bottom style="thin">
        <color rgb="FFD0D5DD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center" shrinkToFit="0" vertical="center" wrapText="0"/>
    </xf>
    <xf borderId="3" fillId="3" fontId="3" numFmtId="0" xfId="0" applyAlignment="1" applyBorder="1" applyFont="1">
      <alignment shrinkToFit="0" vertical="bottom" wrapText="0"/>
    </xf>
    <xf borderId="0" fillId="2" fontId="1" numFmtId="0" xfId="0" applyAlignment="1" applyFont="1">
      <alignment vertical="bottom"/>
    </xf>
    <xf borderId="4" fillId="0" fontId="4" numFmtId="0" xfId="0" applyBorder="1" applyFont="1"/>
    <xf borderId="0" fillId="2" fontId="1" numFmtId="0" xfId="0" applyAlignment="1" applyFont="1">
      <alignment readingOrder="0" vertical="bottom"/>
    </xf>
    <xf borderId="0" fillId="4" fontId="5" numFmtId="0" xfId="0" applyAlignment="1" applyFill="1" applyFont="1">
      <alignment vertical="bottom"/>
    </xf>
    <xf borderId="0" fillId="5" fontId="5" numFmtId="0" xfId="0" applyAlignment="1" applyFill="1" applyFont="1">
      <alignment readingOrder="0"/>
    </xf>
    <xf borderId="0" fillId="0" fontId="6" numFmtId="0" xfId="0" applyFont="1"/>
    <xf borderId="2" fillId="6" fontId="3" numFmtId="0" xfId="0" applyAlignment="1" applyBorder="1" applyFill="1" applyFont="1">
      <alignment horizontal="center" shrinkToFit="0" vertical="center" wrapText="0"/>
    </xf>
    <xf borderId="0" fillId="0" fontId="6" numFmtId="164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shrinkToFit="0" vertical="bottom" wrapText="0"/>
    </xf>
    <xf borderId="5" fillId="7" fontId="9" numFmtId="0" xfId="0" applyAlignment="1" applyBorder="1" applyFill="1" applyFont="1">
      <alignment shrinkToFit="0" vertical="bottom" wrapText="0"/>
    </xf>
    <xf borderId="0" fillId="0" fontId="6" numFmtId="164" xfId="0" applyAlignment="1" applyFont="1" applyNumberFormat="1">
      <alignment horizontal="right" readingOrder="0" vertical="bottom"/>
    </xf>
    <xf borderId="5" fillId="7" fontId="10" numFmtId="0" xfId="0" applyAlignment="1" applyBorder="1" applyFont="1">
      <alignment shrinkToFit="0" vertical="bottom" wrapText="0"/>
    </xf>
    <xf borderId="0" fillId="0" fontId="6" numFmtId="0" xfId="0" applyFont="1"/>
    <xf borderId="0" fillId="0" fontId="6" numFmtId="166" xfId="0" applyAlignment="1" applyFont="1" applyNumberFormat="1">
      <alignment horizontal="right" vertical="bottom"/>
    </xf>
    <xf borderId="0" fillId="0" fontId="9" numFmtId="167" xfId="0" applyAlignment="1" applyFont="1" applyNumberFormat="1">
      <alignment shrinkToFit="0" vertical="bottom" wrapText="0"/>
    </xf>
    <xf borderId="5" fillId="7" fontId="10" numFmtId="168" xfId="0" applyAlignment="1" applyBorder="1" applyFont="1" applyNumberFormat="1">
      <alignment horizontal="center" shrinkToFit="0" vertical="bottom" wrapText="0"/>
    </xf>
    <xf borderId="6" fillId="7" fontId="11" numFmtId="0" xfId="0" applyAlignment="1" applyBorder="1" applyFont="1">
      <alignment horizontal="center" shrinkToFit="0" vertical="center" wrapText="0"/>
    </xf>
    <xf borderId="6" fillId="8" fontId="3" numFmtId="0" xfId="0" applyAlignment="1" applyBorder="1" applyFill="1" applyFont="1">
      <alignment horizontal="center" shrinkToFit="0" vertical="center" wrapText="1"/>
    </xf>
    <xf borderId="5" fillId="9" fontId="12" numFmtId="0" xfId="0" applyAlignment="1" applyBorder="1" applyFill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5" fillId="10" fontId="14" numFmtId="167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horizontal="right" readingOrder="0" vertical="bottom"/>
    </xf>
    <xf borderId="7" fillId="0" fontId="4" numFmtId="0" xfId="0" applyBorder="1" applyFont="1"/>
    <xf borderId="0" fillId="0" fontId="6" numFmtId="165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8" fillId="0" fontId="4" numFmtId="0" xfId="0" applyBorder="1" applyFont="1"/>
    <xf borderId="6" fillId="11" fontId="3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ont="1">
      <alignment horizontal="center" shrinkToFit="0" vertical="center" wrapText="0"/>
    </xf>
    <xf borderId="0" fillId="10" fontId="14" numFmtId="167" xfId="0" applyAlignment="1" applyFont="1" applyNumberFormat="1">
      <alignment shrinkToFit="0" vertical="bottom" wrapText="0"/>
    </xf>
    <xf borderId="5" fillId="12" fontId="3" numFmtId="0" xfId="0" applyAlignment="1" applyBorder="1" applyFill="1" applyFont="1">
      <alignment horizontal="center" shrinkToFit="0" vertical="center" wrapText="1"/>
    </xf>
    <xf borderId="6" fillId="13" fontId="3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0"/>
    </xf>
    <xf borderId="6" fillId="14" fontId="3" numFmtId="0" xfId="0" applyAlignment="1" applyBorder="1" applyFill="1" applyFont="1">
      <alignment horizontal="center" shrinkToFit="0" vertical="center" wrapText="1"/>
    </xf>
    <xf borderId="6" fillId="12" fontId="3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7" fontId="12" numFmtId="0" xfId="0" applyAlignment="1" applyBorder="1" applyFont="1">
      <alignment horizontal="center" readingOrder="0" shrinkToFit="0" vertical="center" wrapText="0"/>
    </xf>
    <xf borderId="5" fillId="0" fontId="13" numFmtId="0" xfId="0" applyAlignment="1" applyBorder="1" applyFont="1">
      <alignment shrinkToFit="0" vertical="bottom" wrapText="0"/>
    </xf>
    <xf borderId="5" fillId="10" fontId="12" numFmtId="0" xfId="0" applyAlignment="1" applyBorder="1" applyFont="1">
      <alignment shrinkToFit="0" vertical="bottom" wrapText="0"/>
    </xf>
    <xf borderId="5" fillId="9" fontId="12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0"/>
    </xf>
    <xf borderId="6" fillId="7" fontId="12" numFmtId="0" xfId="0" applyAlignment="1" applyBorder="1" applyFont="1">
      <alignment horizontal="center" shrinkToFit="0" vertical="center" wrapText="0"/>
    </xf>
    <xf borderId="9" fillId="9" fontId="12" numFmtId="0" xfId="0" applyAlignment="1" applyBorder="1" applyFont="1">
      <alignment horizontal="center" shrinkToFit="0" vertical="center" wrapText="0"/>
    </xf>
    <xf borderId="10" fillId="0" fontId="12" numFmtId="0" xfId="0" applyAlignment="1" applyBorder="1" applyFont="1">
      <alignment horizontal="center" shrinkToFit="0" vertical="center" wrapText="0"/>
    </xf>
    <xf borderId="11" fillId="9" fontId="12" numFmtId="0" xfId="0" applyAlignment="1" applyBorder="1" applyFont="1">
      <alignment horizontal="center" shrinkToFit="0" vertical="center" wrapText="0"/>
    </xf>
    <xf borderId="8" fillId="9" fontId="12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DA4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75"/>
  <cols>
    <col customWidth="1" min="1" max="1" width="9.0"/>
    <col customWidth="1" min="2" max="2" width="20.0"/>
    <col customWidth="1" min="3" max="7" width="16.0"/>
    <col customWidth="1" min="8" max="8" width="3.0"/>
    <col customWidth="1" hidden="1" min="9" max="9" width="22.0"/>
    <col customWidth="1" hidden="1" min="10" max="10" width="16.0"/>
  </cols>
  <sheetData>
    <row r="1" ht="25.5" customHeight="1">
      <c r="A1" s="2" t="s">
        <v>1</v>
      </c>
      <c r="B1" s="5"/>
      <c r="C1" s="5"/>
      <c r="D1" s="5"/>
      <c r="E1" s="5"/>
      <c r="F1" s="5"/>
      <c r="G1" s="5"/>
      <c r="H1" s="5"/>
      <c r="I1" s="5"/>
      <c r="J1" s="5"/>
    </row>
    <row r="2" ht="19.5" customHeight="1">
      <c r="A2" s="10"/>
      <c r="B2" s="5"/>
      <c r="C2" s="5"/>
      <c r="D2" s="5"/>
      <c r="E2" s="5"/>
      <c r="F2" s="5"/>
      <c r="G2" s="5"/>
      <c r="H2" s="5"/>
      <c r="I2" s="5"/>
      <c r="J2" s="5"/>
    </row>
    <row r="3" ht="7.5" customHeight="1"/>
    <row r="4">
      <c r="I4" s="13" t="s">
        <v>12</v>
      </c>
    </row>
    <row r="5" ht="1.5" customHeight="1">
      <c r="I5" s="16" t="s">
        <v>16</v>
      </c>
    </row>
    <row r="6" ht="19.5" hidden="1" customHeight="1">
      <c r="A6" s="17"/>
      <c r="B6" s="19" t="s">
        <v>7</v>
      </c>
      <c r="C6" s="23">
        <f>$J$7+0</f>
        <v>46209</v>
      </c>
      <c r="D6" s="23">
        <f>$J$7+1</f>
        <v>46210</v>
      </c>
      <c r="E6" s="23">
        <f>$J$7+2</f>
        <v>46211</v>
      </c>
      <c r="F6" s="23">
        <f>$J$7+3</f>
        <v>46212</v>
      </c>
      <c r="G6" s="23">
        <f>$J$7+4</f>
        <v>46213</v>
      </c>
    </row>
    <row r="7" ht="21.75" hidden="1" customHeight="1">
      <c r="A7" s="24" t="s">
        <v>29</v>
      </c>
      <c r="B7" s="25" t="s">
        <v>30</v>
      </c>
      <c r="C7" s="26"/>
      <c r="D7" s="26" t="s">
        <v>31</v>
      </c>
      <c r="E7" s="26" t="s">
        <v>31</v>
      </c>
      <c r="F7" s="26" t="s">
        <v>33</v>
      </c>
      <c r="G7" s="26"/>
      <c r="I7" s="27" t="s">
        <v>35</v>
      </c>
      <c r="J7" s="28">
        <v>46209.0</v>
      </c>
    </row>
    <row r="8" ht="21.75" hidden="1" customHeight="1">
      <c r="A8" s="30"/>
      <c r="B8" s="30"/>
      <c r="C8" s="26"/>
      <c r="D8" s="26" t="s">
        <v>33</v>
      </c>
      <c r="E8" s="26" t="s">
        <v>41</v>
      </c>
      <c r="F8" s="26" t="s">
        <v>41</v>
      </c>
      <c r="G8" s="26"/>
    </row>
    <row r="9" ht="21.75" hidden="1" customHeight="1">
      <c r="A9" s="30"/>
      <c r="B9" s="33"/>
      <c r="C9" s="26"/>
      <c r="D9" s="26"/>
      <c r="E9" s="26" t="s">
        <v>44</v>
      </c>
      <c r="F9" s="26"/>
      <c r="G9" s="26"/>
    </row>
    <row r="10" ht="21.75" hidden="1" customHeight="1">
      <c r="A10" s="30"/>
      <c r="B10" s="34" t="s">
        <v>46</v>
      </c>
      <c r="C10" s="35"/>
      <c r="D10" s="35" t="s">
        <v>48</v>
      </c>
      <c r="E10" s="35" t="s">
        <v>49</v>
      </c>
      <c r="F10" s="35" t="s">
        <v>50</v>
      </c>
      <c r="G10" s="35"/>
    </row>
    <row r="11" ht="21.75" hidden="1" customHeight="1">
      <c r="A11" s="30"/>
      <c r="B11" s="30"/>
      <c r="C11" s="35"/>
      <c r="D11" s="35" t="s">
        <v>41</v>
      </c>
      <c r="E11" s="35"/>
      <c r="F11" s="35" t="s">
        <v>44</v>
      </c>
      <c r="G11" s="35"/>
      <c r="I11" s="27"/>
      <c r="J11" s="36"/>
    </row>
    <row r="12" ht="21.75" hidden="1" customHeight="1">
      <c r="A12" s="30"/>
      <c r="B12" s="33"/>
      <c r="C12" s="35"/>
      <c r="D12" s="35" t="s">
        <v>44</v>
      </c>
      <c r="E12" s="35"/>
      <c r="F12" s="35"/>
      <c r="G12" s="35"/>
      <c r="I12" s="27" t="s">
        <v>51</v>
      </c>
      <c r="J12" s="28">
        <v>46216.0</v>
      </c>
    </row>
    <row r="13" ht="21.75" hidden="1" customHeight="1">
      <c r="A13" s="30"/>
      <c r="B13" s="37" t="s">
        <v>52</v>
      </c>
      <c r="C13" s="26"/>
      <c r="D13" s="26"/>
      <c r="E13" s="26" t="s">
        <v>33</v>
      </c>
      <c r="F13" s="26"/>
      <c r="G13" s="26"/>
    </row>
    <row r="14" ht="21.75" hidden="1" customHeight="1">
      <c r="A14" s="30"/>
      <c r="B14" s="37" t="s">
        <v>53</v>
      </c>
      <c r="C14" s="26"/>
      <c r="D14" s="26"/>
      <c r="E14" s="26" t="s">
        <v>54</v>
      </c>
      <c r="F14" s="26"/>
      <c r="G14" s="26"/>
    </row>
    <row r="15" ht="21.75" hidden="1" customHeight="1">
      <c r="A15" s="30"/>
      <c r="B15" s="38" t="s">
        <v>55</v>
      </c>
      <c r="C15" s="35"/>
      <c r="D15" s="35"/>
      <c r="E15" s="35" t="s">
        <v>31</v>
      </c>
      <c r="F15" s="35"/>
      <c r="G15" s="35"/>
      <c r="I15" s="27"/>
      <c r="J15" s="36"/>
    </row>
    <row r="16" ht="21.75" hidden="1" customHeight="1">
      <c r="A16" s="30"/>
      <c r="B16" s="30"/>
      <c r="C16" s="35"/>
      <c r="D16" s="35"/>
      <c r="E16" s="35" t="s">
        <v>41</v>
      </c>
      <c r="F16" s="35"/>
      <c r="G16" s="35"/>
      <c r="I16" s="27" t="s">
        <v>56</v>
      </c>
      <c r="J16" s="28">
        <v>46223.0</v>
      </c>
    </row>
    <row r="17" ht="21.75" hidden="1" customHeight="1">
      <c r="A17" s="30"/>
      <c r="B17" s="30"/>
      <c r="C17" s="35"/>
      <c r="D17" s="35"/>
      <c r="E17" s="35" t="s">
        <v>44</v>
      </c>
      <c r="F17" s="35"/>
      <c r="G17" s="35"/>
    </row>
    <row r="18" ht="21.75" hidden="1" customHeight="1">
      <c r="A18" s="33"/>
      <c r="B18" s="39" t="s">
        <v>57</v>
      </c>
      <c r="C18" s="40"/>
      <c r="D18" s="40"/>
      <c r="E18" s="40"/>
      <c r="F18" s="40"/>
      <c r="G18" s="40" t="s">
        <v>58</v>
      </c>
    </row>
    <row r="19" hidden="1"/>
    <row r="20" hidden="1">
      <c r="I20" s="27" t="s">
        <v>59</v>
      </c>
      <c r="J20" s="28">
        <v>46230.0</v>
      </c>
    </row>
    <row r="21" ht="19.5" hidden="1" customHeight="1">
      <c r="A21" s="17"/>
      <c r="B21" s="19" t="s">
        <v>7</v>
      </c>
      <c r="C21" s="23">
        <f>$J$12+0</f>
        <v>46216</v>
      </c>
      <c r="D21" s="23">
        <f>$J$12+1</f>
        <v>46217</v>
      </c>
      <c r="E21" s="23">
        <f>$J$12+2</f>
        <v>46218</v>
      </c>
      <c r="F21" s="23">
        <f>$J$12+3</f>
        <v>46219</v>
      </c>
      <c r="G21" s="23">
        <f>$J$12+4</f>
        <v>46220</v>
      </c>
    </row>
    <row r="22" ht="21.75" hidden="1" customHeight="1">
      <c r="A22" s="24" t="s">
        <v>60</v>
      </c>
      <c r="B22" s="25" t="s">
        <v>30</v>
      </c>
      <c r="C22" s="26"/>
      <c r="D22" s="26" t="s">
        <v>31</v>
      </c>
      <c r="E22" s="26" t="s">
        <v>54</v>
      </c>
      <c r="F22" s="26" t="s">
        <v>54</v>
      </c>
      <c r="G22" s="26"/>
    </row>
    <row r="23" ht="21.75" hidden="1" customHeight="1">
      <c r="A23" s="30"/>
      <c r="B23" s="30"/>
      <c r="C23" s="26"/>
      <c r="D23" s="26" t="s">
        <v>61</v>
      </c>
      <c r="E23" s="26" t="s">
        <v>41</v>
      </c>
      <c r="F23" s="26" t="s">
        <v>41</v>
      </c>
      <c r="G23" s="26"/>
      <c r="I23" s="27"/>
      <c r="J23" s="36"/>
    </row>
    <row r="24" ht="21.75" hidden="1" customHeight="1">
      <c r="A24" s="30"/>
      <c r="B24" s="33"/>
      <c r="C24" s="26"/>
      <c r="D24" s="26"/>
      <c r="E24" s="26"/>
      <c r="F24" s="26" t="s">
        <v>48</v>
      </c>
      <c r="G24" s="26"/>
      <c r="I24" s="27" t="s">
        <v>62</v>
      </c>
      <c r="J24" s="28">
        <v>46237.0</v>
      </c>
    </row>
    <row r="25" ht="21.75" hidden="1" customHeight="1">
      <c r="A25" s="30"/>
      <c r="B25" s="34" t="s">
        <v>46</v>
      </c>
      <c r="C25" s="35"/>
      <c r="D25" s="35" t="s">
        <v>48</v>
      </c>
      <c r="E25" s="35" t="s">
        <v>33</v>
      </c>
      <c r="F25" s="35" t="s">
        <v>33</v>
      </c>
      <c r="G25" s="35"/>
    </row>
    <row r="26" ht="21.75" hidden="1" customHeight="1">
      <c r="A26" s="30"/>
      <c r="B26" s="30"/>
      <c r="C26" s="35"/>
      <c r="D26" s="35"/>
      <c r="E26" s="35" t="s">
        <v>31</v>
      </c>
      <c r="F26" s="35" t="s">
        <v>31</v>
      </c>
      <c r="G26" s="35"/>
    </row>
    <row r="27" ht="21.75" hidden="1" customHeight="1">
      <c r="A27" s="30"/>
      <c r="B27" s="33"/>
      <c r="C27" s="35"/>
      <c r="D27" s="35"/>
      <c r="E27" s="35" t="s">
        <v>61</v>
      </c>
      <c r="F27" s="35" t="s">
        <v>63</v>
      </c>
      <c r="G27" s="35"/>
    </row>
    <row r="28" ht="21.75" hidden="1" customHeight="1">
      <c r="A28" s="30"/>
      <c r="B28" s="41" t="s">
        <v>64</v>
      </c>
      <c r="C28" s="26"/>
      <c r="D28" s="26" t="s">
        <v>33</v>
      </c>
      <c r="E28" s="26"/>
      <c r="F28" s="26"/>
      <c r="G28" s="26"/>
      <c r="I28" s="27"/>
      <c r="J28" s="36"/>
    </row>
    <row r="29" ht="21.75" hidden="1" customHeight="1">
      <c r="A29" s="30"/>
      <c r="B29" s="30"/>
      <c r="C29" s="26"/>
      <c r="D29" s="26" t="s">
        <v>54</v>
      </c>
      <c r="E29" s="26"/>
      <c r="F29" s="26"/>
      <c r="G29" s="26"/>
      <c r="I29" s="27"/>
      <c r="J29" s="36"/>
    </row>
    <row r="30" ht="21.75" hidden="1" customHeight="1">
      <c r="A30" s="30"/>
      <c r="B30" s="33"/>
      <c r="C30" s="26"/>
      <c r="D30" s="26" t="s">
        <v>41</v>
      </c>
      <c r="E30" s="26"/>
      <c r="F30" s="26"/>
      <c r="G30" s="26"/>
      <c r="I30" s="27"/>
      <c r="J30" s="36"/>
    </row>
    <row r="31" ht="21.75" hidden="1" customHeight="1">
      <c r="A31" s="30"/>
      <c r="B31" s="37" t="s">
        <v>53</v>
      </c>
      <c r="C31" s="26"/>
      <c r="D31" s="26"/>
      <c r="E31" s="26" t="s">
        <v>65</v>
      </c>
      <c r="F31" s="26"/>
      <c r="G31" s="26"/>
      <c r="I31" s="27"/>
      <c r="J31" s="36"/>
    </row>
    <row r="32" ht="21.75" hidden="1" customHeight="1">
      <c r="A32" s="30"/>
      <c r="B32" s="42" t="s">
        <v>66</v>
      </c>
      <c r="C32" s="26"/>
      <c r="D32" s="26"/>
      <c r="F32" s="26"/>
      <c r="G32" s="26"/>
      <c r="I32" s="27" t="s">
        <v>67</v>
      </c>
      <c r="J32" s="28">
        <v>46244.0</v>
      </c>
    </row>
    <row r="33" ht="21.75" hidden="1" customHeight="1">
      <c r="A33" s="30"/>
      <c r="B33" s="33"/>
      <c r="C33" s="26"/>
      <c r="D33" s="26"/>
      <c r="E33" s="26"/>
      <c r="F33" s="26"/>
      <c r="G33" s="26"/>
    </row>
    <row r="34" ht="21.75" hidden="1" customHeight="1">
      <c r="A34" s="30"/>
      <c r="B34" s="38" t="s">
        <v>68</v>
      </c>
      <c r="C34" s="35"/>
      <c r="D34" s="35"/>
      <c r="E34" s="35"/>
      <c r="F34" s="35"/>
      <c r="G34" s="35"/>
    </row>
    <row r="35" ht="21.75" hidden="1" customHeight="1">
      <c r="A35" s="33"/>
      <c r="B35" s="33"/>
      <c r="C35" s="35"/>
      <c r="D35" s="35"/>
      <c r="E35" s="35"/>
      <c r="F35" s="35"/>
      <c r="G35" s="35"/>
      <c r="I35" s="27" t="s">
        <v>69</v>
      </c>
      <c r="J35" s="28">
        <v>46251.0</v>
      </c>
    </row>
    <row r="36" ht="15.75" hidden="1" customHeight="1"/>
    <row r="37" ht="15.75" hidden="1" customHeight="1"/>
    <row r="38" ht="19.5" hidden="1" customHeight="1">
      <c r="A38" s="17"/>
      <c r="B38" s="19" t="s">
        <v>7</v>
      </c>
      <c r="C38" s="23">
        <f>$J$16+0</f>
        <v>46223</v>
      </c>
      <c r="D38" s="23">
        <f>$J$16+1</f>
        <v>46224</v>
      </c>
      <c r="E38" s="23">
        <f>$J$16+2</f>
        <v>46225</v>
      </c>
      <c r="F38" s="23">
        <f>$J$16+3</f>
        <v>46226</v>
      </c>
      <c r="G38" s="23">
        <f>$J$16+4</f>
        <v>46227</v>
      </c>
      <c r="I38" s="27" t="s">
        <v>70</v>
      </c>
      <c r="J38" s="28">
        <v>46258.0</v>
      </c>
    </row>
    <row r="39" ht="21.75" hidden="1" customHeight="1">
      <c r="A39" s="24" t="s">
        <v>71</v>
      </c>
      <c r="B39" s="25" t="s">
        <v>30</v>
      </c>
      <c r="C39" s="26"/>
      <c r="D39" s="43" t="s">
        <v>44</v>
      </c>
      <c r="E39" s="26" t="s">
        <v>72</v>
      </c>
      <c r="F39" s="26" t="s">
        <v>48</v>
      </c>
      <c r="G39" s="26"/>
    </row>
    <row r="40" ht="21.75" hidden="1" customHeight="1">
      <c r="A40" s="30"/>
      <c r="B40" s="30"/>
      <c r="C40" s="26"/>
      <c r="D40" s="40" t="s">
        <v>63</v>
      </c>
      <c r="E40" s="26" t="s">
        <v>41</v>
      </c>
      <c r="F40" s="26" t="s">
        <v>73</v>
      </c>
      <c r="G40" s="26"/>
    </row>
    <row r="41" ht="21.75" hidden="1" customHeight="1">
      <c r="A41" s="30"/>
      <c r="B41" s="33"/>
      <c r="C41" s="26"/>
      <c r="E41" s="26" t="s">
        <v>63</v>
      </c>
      <c r="F41" s="26" t="s">
        <v>33</v>
      </c>
      <c r="G41" s="26"/>
    </row>
    <row r="42" ht="21.75" hidden="1" customHeight="1">
      <c r="A42" s="30"/>
      <c r="B42" s="34" t="s">
        <v>46</v>
      </c>
      <c r="C42" s="35"/>
      <c r="D42" s="35" t="s">
        <v>31</v>
      </c>
      <c r="E42" s="35" t="s">
        <v>31</v>
      </c>
      <c r="F42" s="35" t="s">
        <v>31</v>
      </c>
      <c r="G42" s="35"/>
      <c r="I42" s="27"/>
      <c r="J42" s="36"/>
    </row>
    <row r="43" ht="21.75" hidden="1" customHeight="1">
      <c r="A43" s="30"/>
      <c r="B43" s="30"/>
      <c r="C43" s="35"/>
      <c r="D43" s="35" t="s">
        <v>41</v>
      </c>
      <c r="E43" s="35" t="s">
        <v>44</v>
      </c>
      <c r="F43" s="35" t="s">
        <v>41</v>
      </c>
      <c r="G43" s="35"/>
      <c r="I43" s="27" t="s">
        <v>74</v>
      </c>
      <c r="J43" s="28">
        <v>46265.0</v>
      </c>
    </row>
    <row r="44" ht="21.75" hidden="1" customHeight="1">
      <c r="A44" s="30"/>
      <c r="B44" s="30"/>
      <c r="C44" s="35"/>
      <c r="D44" s="35" t="s">
        <v>61</v>
      </c>
      <c r="E44" s="35" t="s">
        <v>54</v>
      </c>
      <c r="F44" s="35" t="s">
        <v>44</v>
      </c>
      <c r="G44" s="35"/>
    </row>
    <row r="45" ht="21.75" hidden="1" customHeight="1">
      <c r="A45" s="30"/>
      <c r="B45" s="33"/>
      <c r="C45" s="35"/>
      <c r="D45" s="35"/>
      <c r="E45" s="44" t="s">
        <v>75</v>
      </c>
      <c r="F45" s="35"/>
      <c r="G45" s="35"/>
    </row>
    <row r="46" ht="21.75" hidden="1" customHeight="1">
      <c r="A46" s="30"/>
      <c r="B46" s="37" t="s">
        <v>52</v>
      </c>
      <c r="C46" s="26"/>
      <c r="D46" s="26"/>
      <c r="E46" s="26" t="s">
        <v>54</v>
      </c>
      <c r="F46" s="26"/>
      <c r="G46" s="26"/>
    </row>
    <row r="47" ht="21.75" hidden="1" customHeight="1">
      <c r="A47" s="30"/>
      <c r="B47" s="37" t="s">
        <v>53</v>
      </c>
      <c r="C47" s="26"/>
      <c r="D47" s="26"/>
      <c r="E47" s="26" t="s">
        <v>44</v>
      </c>
      <c r="F47" s="26"/>
      <c r="G47" s="26"/>
    </row>
    <row r="48" ht="21.75" hidden="1" customHeight="1">
      <c r="A48" s="33"/>
      <c r="B48" s="37" t="s">
        <v>53</v>
      </c>
      <c r="C48" s="26"/>
      <c r="D48" s="26"/>
      <c r="E48" s="44" t="s">
        <v>75</v>
      </c>
      <c r="F48" s="26"/>
      <c r="G48" s="26"/>
    </row>
    <row r="49" ht="15.75" hidden="1" customHeight="1">
      <c r="I49" s="45" t="s">
        <v>46</v>
      </c>
      <c r="J49" s="46" t="s">
        <v>76</v>
      </c>
    </row>
    <row r="50" ht="15.75" hidden="1" customHeight="1">
      <c r="I50" s="45" t="s">
        <v>77</v>
      </c>
      <c r="J50" s="46" t="s">
        <v>78</v>
      </c>
    </row>
    <row r="51" ht="19.5" customHeight="1">
      <c r="A51" s="17"/>
      <c r="B51" s="19" t="s">
        <v>7</v>
      </c>
      <c r="C51" s="23">
        <f>$J$20+0</f>
        <v>46230</v>
      </c>
      <c r="D51" s="23">
        <f>$J$20+1</f>
        <v>46231</v>
      </c>
      <c r="E51" s="23">
        <f>$J$20+2</f>
        <v>46232</v>
      </c>
      <c r="F51" s="23">
        <f>$J$20+3</f>
        <v>46233</v>
      </c>
      <c r="G51" s="23">
        <f>$J$20+4</f>
        <v>46234</v>
      </c>
      <c r="I51" s="45" t="s">
        <v>79</v>
      </c>
      <c r="J51" s="46" t="s">
        <v>80</v>
      </c>
    </row>
    <row r="52" ht="21.75" customHeight="1">
      <c r="A52" s="24" t="s">
        <v>81</v>
      </c>
      <c r="B52" s="25" t="s">
        <v>30</v>
      </c>
      <c r="C52" s="26"/>
      <c r="D52" s="26" t="s">
        <v>31</v>
      </c>
      <c r="E52" s="26" t="s">
        <v>72</v>
      </c>
      <c r="F52" s="26" t="s">
        <v>31</v>
      </c>
      <c r="G52" s="26"/>
    </row>
    <row r="53" ht="21.75" customHeight="1">
      <c r="A53" s="30"/>
      <c r="B53" s="30"/>
      <c r="C53" s="26"/>
      <c r="D53" s="47" t="s">
        <v>44</v>
      </c>
      <c r="E53" s="26" t="s">
        <v>31</v>
      </c>
      <c r="F53" s="26" t="s">
        <v>33</v>
      </c>
      <c r="G53" s="26"/>
    </row>
    <row r="54" ht="21.75" customHeight="1">
      <c r="A54" s="30"/>
      <c r="B54" s="33"/>
      <c r="C54" s="26"/>
      <c r="D54" s="48" t="s">
        <v>82</v>
      </c>
      <c r="E54" s="26" t="s">
        <v>63</v>
      </c>
      <c r="F54" s="26" t="s">
        <v>48</v>
      </c>
      <c r="G54" s="26"/>
    </row>
    <row r="55" ht="21.75" customHeight="1">
      <c r="A55" s="30"/>
      <c r="B55" s="34" t="s">
        <v>46</v>
      </c>
      <c r="C55" s="35"/>
      <c r="D55" s="35" t="s">
        <v>33</v>
      </c>
      <c r="E55" s="35" t="s">
        <v>61</v>
      </c>
      <c r="F55" s="35" t="s">
        <v>72</v>
      </c>
      <c r="G55" s="35"/>
    </row>
    <row r="56" ht="21.75" customHeight="1">
      <c r="A56" s="30"/>
      <c r="B56" s="30"/>
      <c r="C56" s="35"/>
      <c r="D56" s="35" t="s">
        <v>61</v>
      </c>
      <c r="E56" s="35" t="s">
        <v>41</v>
      </c>
      <c r="F56" s="35" t="s">
        <v>41</v>
      </c>
      <c r="G56" s="35"/>
    </row>
    <row r="57" ht="21.75" customHeight="1">
      <c r="A57" s="30"/>
      <c r="B57" s="33"/>
      <c r="C57" s="35"/>
      <c r="D57" s="44" t="s">
        <v>41</v>
      </c>
      <c r="E57" s="44" t="s">
        <v>83</v>
      </c>
      <c r="F57" s="35"/>
      <c r="G57" s="35"/>
    </row>
    <row r="58" ht="21.75" customHeight="1">
      <c r="A58" s="30"/>
      <c r="B58" s="37" t="s">
        <v>52</v>
      </c>
      <c r="C58" s="26"/>
      <c r="D58" s="26"/>
      <c r="E58" s="26" t="s">
        <v>54</v>
      </c>
      <c r="F58" s="26"/>
      <c r="G58" s="26"/>
    </row>
    <row r="59" ht="21.75" customHeight="1">
      <c r="A59" s="30"/>
      <c r="B59" s="37" t="s">
        <v>53</v>
      </c>
      <c r="C59" s="26"/>
      <c r="D59" s="26"/>
      <c r="E59" s="26" t="s">
        <v>84</v>
      </c>
      <c r="F59" s="26"/>
      <c r="G59" s="26"/>
    </row>
    <row r="60" ht="21.75" customHeight="1">
      <c r="A60" s="30"/>
      <c r="B60" s="38" t="s">
        <v>85</v>
      </c>
      <c r="C60" s="35"/>
      <c r="D60" s="35"/>
      <c r="E60" s="35"/>
      <c r="F60" s="35"/>
      <c r="G60" s="35"/>
    </row>
    <row r="61" ht="21.75" customHeight="1">
      <c r="A61" s="33"/>
      <c r="B61" s="33"/>
      <c r="C61" s="35"/>
      <c r="D61" s="35"/>
      <c r="E61" s="35"/>
      <c r="F61" s="35"/>
      <c r="G61" s="35"/>
    </row>
    <row r="62" ht="15.75" customHeight="1"/>
    <row r="63" ht="15.75" customHeight="1"/>
    <row r="64" ht="19.5" customHeight="1">
      <c r="A64" s="17"/>
      <c r="B64" s="19" t="s">
        <v>7</v>
      </c>
      <c r="C64" s="23">
        <f>$J$24+0</f>
        <v>46237</v>
      </c>
      <c r="D64" s="23">
        <f>$J$24+1</f>
        <v>46238</v>
      </c>
      <c r="E64" s="23">
        <f>$J$24+2</f>
        <v>46239</v>
      </c>
      <c r="F64" s="23">
        <f>$J$24+3</f>
        <v>46240</v>
      </c>
      <c r="G64" s="23">
        <f>$J$24+4</f>
        <v>46241</v>
      </c>
    </row>
    <row r="65" ht="21.75" customHeight="1">
      <c r="A65" s="24" t="s">
        <v>86</v>
      </c>
      <c r="B65" s="25" t="s">
        <v>30</v>
      </c>
      <c r="C65" s="26"/>
      <c r="D65" s="26" t="s">
        <v>31</v>
      </c>
      <c r="E65" s="26" t="s">
        <v>72</v>
      </c>
      <c r="F65" s="26" t="s">
        <v>82</v>
      </c>
      <c r="G65" s="26"/>
    </row>
    <row r="66" ht="21.75" customHeight="1">
      <c r="A66" s="30"/>
      <c r="B66" s="30"/>
      <c r="C66" s="26"/>
      <c r="D66" s="26" t="s">
        <v>44</v>
      </c>
      <c r="E66" s="26" t="s">
        <v>54</v>
      </c>
      <c r="F66" s="26" t="s">
        <v>83</v>
      </c>
      <c r="G66" s="26"/>
    </row>
    <row r="67" ht="21.75" customHeight="1">
      <c r="A67" s="30"/>
      <c r="B67" s="33"/>
      <c r="C67" s="26"/>
      <c r="D67" s="26" t="s">
        <v>54</v>
      </c>
      <c r="E67" s="26" t="s">
        <v>41</v>
      </c>
      <c r="F67" s="26" t="s">
        <v>63</v>
      </c>
      <c r="G67" s="26"/>
    </row>
    <row r="68" ht="21.75" customHeight="1">
      <c r="A68" s="30"/>
      <c r="B68" s="34" t="s">
        <v>46</v>
      </c>
      <c r="C68" s="35"/>
      <c r="D68" s="35" t="s">
        <v>48</v>
      </c>
      <c r="E68" s="35" t="s">
        <v>31</v>
      </c>
      <c r="F68" s="35"/>
      <c r="G68" s="35"/>
    </row>
    <row r="69" ht="21.75" customHeight="1">
      <c r="A69" s="30"/>
      <c r="B69" s="30"/>
      <c r="C69" s="35"/>
      <c r="D69" s="35" t="s">
        <v>41</v>
      </c>
      <c r="E69" s="35" t="s">
        <v>83</v>
      </c>
      <c r="F69" s="35"/>
      <c r="G69" s="35"/>
    </row>
    <row r="70" ht="21.75" customHeight="1">
      <c r="A70" s="30"/>
      <c r="B70" s="33"/>
      <c r="C70" s="35"/>
      <c r="D70" s="35" t="s">
        <v>84</v>
      </c>
      <c r="E70" s="35" t="s">
        <v>84</v>
      </c>
      <c r="F70" s="35" t="s">
        <v>31</v>
      </c>
      <c r="G70" s="35"/>
    </row>
    <row r="71" ht="21.75" customHeight="1">
      <c r="A71" s="30"/>
      <c r="B71" s="41" t="s">
        <v>87</v>
      </c>
      <c r="C71" s="26"/>
      <c r="D71" s="26"/>
      <c r="E71" s="26"/>
      <c r="F71" s="49" t="s">
        <v>61</v>
      </c>
      <c r="G71" s="26"/>
    </row>
    <row r="72" ht="21.75" customHeight="1">
      <c r="A72" s="30"/>
      <c r="B72" s="30"/>
      <c r="C72" s="26"/>
      <c r="D72" s="26"/>
      <c r="E72" s="50"/>
      <c r="F72" s="51"/>
      <c r="G72" s="52"/>
    </row>
    <row r="73" ht="21.75" customHeight="1">
      <c r="A73" s="30"/>
      <c r="B73" s="33"/>
      <c r="C73" s="26"/>
      <c r="D73" s="26"/>
      <c r="E73" s="40" t="s">
        <v>31</v>
      </c>
      <c r="F73" s="51"/>
      <c r="G73" s="52"/>
    </row>
    <row r="74" ht="21.75" customHeight="1">
      <c r="A74" s="30"/>
      <c r="B74" s="37" t="s">
        <v>53</v>
      </c>
      <c r="C74" s="26"/>
      <c r="D74" s="26"/>
      <c r="E74" s="26" t="s">
        <v>44</v>
      </c>
      <c r="F74" s="53"/>
      <c r="G74" s="26"/>
    </row>
    <row r="75" ht="21.75" customHeight="1">
      <c r="A75" s="30"/>
      <c r="B75" s="37" t="s">
        <v>53</v>
      </c>
      <c r="C75" s="26"/>
      <c r="D75" s="26"/>
      <c r="E75" s="26"/>
      <c r="F75" s="26"/>
      <c r="G75" s="26"/>
    </row>
    <row r="76" ht="21.75" customHeight="1">
      <c r="A76" s="30"/>
      <c r="B76" s="38" t="s">
        <v>85</v>
      </c>
      <c r="C76" s="35"/>
      <c r="D76" s="35"/>
      <c r="E76" s="35"/>
      <c r="F76" s="35"/>
      <c r="G76" s="35"/>
    </row>
    <row r="77" ht="21.75" customHeight="1">
      <c r="A77" s="33"/>
      <c r="B77" s="33"/>
      <c r="C77" s="35"/>
      <c r="D77" s="35"/>
      <c r="E77" s="35"/>
      <c r="F77" s="35"/>
      <c r="G77" s="35"/>
    </row>
    <row r="78" ht="15.75" customHeight="1"/>
    <row r="79" ht="15.75" customHeight="1"/>
    <row r="80" ht="19.5" customHeight="1">
      <c r="A80" s="17"/>
      <c r="B80" s="19" t="s">
        <v>7</v>
      </c>
      <c r="C80" s="23">
        <f>$J$32+0</f>
        <v>46244</v>
      </c>
      <c r="D80" s="23">
        <f>$J$32+1</f>
        <v>46245</v>
      </c>
      <c r="E80" s="23">
        <f>$J$32+2</f>
        <v>46246</v>
      </c>
      <c r="F80" s="23">
        <f>$J$32+3</f>
        <v>46247</v>
      </c>
      <c r="G80" s="23">
        <f>$J$32+4</f>
        <v>46248</v>
      </c>
    </row>
    <row r="81" ht="21.75" customHeight="1">
      <c r="A81" s="24" t="s">
        <v>88</v>
      </c>
      <c r="B81" s="25" t="s">
        <v>30</v>
      </c>
      <c r="C81" s="26"/>
      <c r="D81" s="26" t="s">
        <v>44</v>
      </c>
      <c r="E81" s="26" t="s">
        <v>72</v>
      </c>
      <c r="F81" s="26" t="s">
        <v>48</v>
      </c>
      <c r="G81" s="26"/>
    </row>
    <row r="82" ht="21.75" customHeight="1">
      <c r="A82" s="30"/>
      <c r="B82" s="30"/>
      <c r="C82" s="26"/>
      <c r="D82" s="26" t="s">
        <v>63</v>
      </c>
      <c r="E82" s="26" t="s">
        <v>31</v>
      </c>
      <c r="F82" s="26" t="s">
        <v>83</v>
      </c>
      <c r="G82" s="26"/>
    </row>
    <row r="83" ht="21.75" customHeight="1">
      <c r="A83" s="30"/>
      <c r="B83" s="33"/>
      <c r="C83" s="26"/>
      <c r="D83" s="26" t="s">
        <v>54</v>
      </c>
      <c r="E83" s="26" t="s">
        <v>84</v>
      </c>
      <c r="F83" s="26"/>
      <c r="G83" s="26"/>
    </row>
    <row r="84" ht="21.75" customHeight="1">
      <c r="A84" s="30"/>
      <c r="B84" s="34" t="s">
        <v>46</v>
      </c>
      <c r="C84" s="35"/>
      <c r="D84" s="35" t="s">
        <v>48</v>
      </c>
      <c r="E84" s="35" t="s">
        <v>89</v>
      </c>
      <c r="F84" s="35" t="s">
        <v>84</v>
      </c>
      <c r="G84" s="35"/>
    </row>
    <row r="85" ht="21.75" customHeight="1">
      <c r="A85" s="30"/>
      <c r="B85" s="30"/>
      <c r="C85" s="35"/>
      <c r="D85" s="35" t="s">
        <v>31</v>
      </c>
      <c r="E85" s="35" t="s">
        <v>83</v>
      </c>
      <c r="F85" s="35" t="s">
        <v>44</v>
      </c>
      <c r="G85" s="35"/>
    </row>
    <row r="86" ht="21.75" customHeight="1">
      <c r="A86" s="30"/>
      <c r="B86" s="33"/>
      <c r="C86" s="35"/>
      <c r="D86" s="35" t="s">
        <v>90</v>
      </c>
      <c r="E86" s="35" t="s">
        <v>54</v>
      </c>
      <c r="F86" s="35" t="s">
        <v>50</v>
      </c>
      <c r="G86" s="35"/>
    </row>
    <row r="87" ht="21.75" customHeight="1">
      <c r="A87" s="30"/>
      <c r="B87" s="42" t="s">
        <v>77</v>
      </c>
      <c r="C87" s="26"/>
      <c r="D87" s="26"/>
      <c r="E87" s="26"/>
      <c r="F87" s="26"/>
      <c r="G87" s="26"/>
    </row>
    <row r="88" ht="21.75" customHeight="1">
      <c r="A88" s="30"/>
      <c r="B88" s="33"/>
      <c r="C88" s="26"/>
      <c r="D88" s="26"/>
      <c r="E88" s="26"/>
      <c r="F88" s="26"/>
      <c r="G88" s="26"/>
    </row>
    <row r="89" ht="21.75" customHeight="1">
      <c r="A89" s="30"/>
      <c r="B89" s="38" t="s">
        <v>85</v>
      </c>
      <c r="C89" s="35"/>
      <c r="D89" s="35"/>
      <c r="E89" s="35"/>
      <c r="F89" s="35"/>
      <c r="G89" s="35"/>
    </row>
    <row r="90" ht="21.75" customHeight="1">
      <c r="A90" s="33"/>
      <c r="B90" s="33"/>
      <c r="C90" s="35"/>
      <c r="D90" s="35"/>
      <c r="E90" s="35"/>
      <c r="F90" s="35"/>
      <c r="G90" s="35"/>
    </row>
    <row r="91" ht="15.75" customHeight="1"/>
    <row r="92" ht="15.75" customHeight="1"/>
    <row r="93" ht="19.5" customHeight="1">
      <c r="A93" s="17"/>
      <c r="B93" s="19" t="s">
        <v>7</v>
      </c>
      <c r="C93" s="23">
        <f>$J$35+0</f>
        <v>46251</v>
      </c>
      <c r="D93" s="23">
        <f>$J$35+1</f>
        <v>46252</v>
      </c>
      <c r="E93" s="23">
        <f>$J$35+2</f>
        <v>46253</v>
      </c>
      <c r="F93" s="23">
        <f>$J$35+3</f>
        <v>46254</v>
      </c>
      <c r="G93" s="23">
        <f>$J$35+4</f>
        <v>46255</v>
      </c>
    </row>
    <row r="94" ht="21.75" customHeight="1">
      <c r="A94" s="24" t="s">
        <v>91</v>
      </c>
      <c r="B94" s="25" t="s">
        <v>30</v>
      </c>
      <c r="C94" s="26"/>
      <c r="D94" s="26"/>
      <c r="E94" s="26"/>
      <c r="F94" s="26"/>
      <c r="G94" s="26"/>
    </row>
    <row r="95" ht="21.75" customHeight="1">
      <c r="A95" s="30"/>
      <c r="B95" s="33"/>
      <c r="C95" s="26"/>
      <c r="D95" s="26"/>
      <c r="E95" s="26"/>
      <c r="F95" s="26"/>
      <c r="G95" s="26"/>
    </row>
    <row r="96" ht="21.75" customHeight="1">
      <c r="A96" s="30"/>
      <c r="B96" s="34" t="s">
        <v>46</v>
      </c>
      <c r="C96" s="35"/>
      <c r="D96" s="35"/>
      <c r="E96" s="35"/>
      <c r="F96" s="35"/>
      <c r="G96" s="35"/>
    </row>
    <row r="97" ht="21.75" customHeight="1">
      <c r="A97" s="30"/>
      <c r="B97" s="33"/>
      <c r="C97" s="35"/>
      <c r="D97" s="35"/>
      <c r="E97" s="35"/>
      <c r="F97" s="35"/>
      <c r="G97" s="35"/>
    </row>
    <row r="98" ht="21.75" customHeight="1">
      <c r="A98" s="30"/>
      <c r="B98" s="42" t="s">
        <v>77</v>
      </c>
      <c r="C98" s="26"/>
      <c r="D98" s="26"/>
      <c r="E98" s="26"/>
      <c r="F98" s="26"/>
      <c r="G98" s="26"/>
    </row>
    <row r="99" ht="21.75" customHeight="1">
      <c r="A99" s="30"/>
      <c r="B99" s="33"/>
      <c r="C99" s="26"/>
      <c r="D99" s="26"/>
      <c r="E99" s="26"/>
      <c r="F99" s="26"/>
      <c r="G99" s="26"/>
    </row>
    <row r="100" ht="21.75" customHeight="1">
      <c r="A100" s="30"/>
      <c r="B100" s="38" t="s">
        <v>85</v>
      </c>
      <c r="C100" s="35"/>
      <c r="D100" s="35"/>
      <c r="E100" s="35"/>
      <c r="F100" s="35"/>
      <c r="G100" s="35"/>
    </row>
    <row r="101" ht="21.75" customHeight="1">
      <c r="A101" s="33"/>
      <c r="B101" s="33"/>
      <c r="C101" s="35"/>
      <c r="D101" s="35"/>
      <c r="E101" s="35"/>
      <c r="F101" s="35"/>
      <c r="G101" s="35"/>
    </row>
    <row r="102" ht="15.75" customHeight="1"/>
    <row r="103" ht="15.75" customHeight="1"/>
    <row r="104" ht="19.5" customHeight="1">
      <c r="A104" s="17"/>
      <c r="B104" s="19" t="s">
        <v>7</v>
      </c>
      <c r="C104" s="23">
        <f>$J$38+0</f>
        <v>46258</v>
      </c>
      <c r="D104" s="23">
        <f>$J$38+1</f>
        <v>46259</v>
      </c>
      <c r="E104" s="23">
        <f>$J$38+2</f>
        <v>46260</v>
      </c>
      <c r="F104" s="23">
        <f>$J$38+3</f>
        <v>46261</v>
      </c>
      <c r="G104" s="23">
        <f>$J$38+4</f>
        <v>46262</v>
      </c>
    </row>
    <row r="105" ht="21.75" customHeight="1">
      <c r="A105" s="24" t="s">
        <v>92</v>
      </c>
      <c r="B105" s="25" t="s">
        <v>30</v>
      </c>
      <c r="C105" s="26"/>
      <c r="D105" s="26"/>
      <c r="E105" s="26"/>
      <c r="F105" s="26"/>
      <c r="G105" s="26"/>
    </row>
    <row r="106" ht="21.75" customHeight="1">
      <c r="A106" s="30"/>
      <c r="B106" s="33"/>
      <c r="C106" s="26"/>
      <c r="D106" s="26"/>
      <c r="E106" s="26"/>
      <c r="F106" s="26"/>
      <c r="G106" s="26"/>
    </row>
    <row r="107" ht="21.75" customHeight="1">
      <c r="A107" s="30"/>
      <c r="B107" s="34" t="s">
        <v>46</v>
      </c>
      <c r="C107" s="35"/>
      <c r="D107" s="35"/>
      <c r="E107" s="35"/>
      <c r="F107" s="35"/>
      <c r="G107" s="35"/>
    </row>
    <row r="108" ht="21.75" customHeight="1">
      <c r="A108" s="30"/>
      <c r="B108" s="33"/>
      <c r="C108" s="35"/>
      <c r="D108" s="35"/>
      <c r="E108" s="35"/>
      <c r="F108" s="35"/>
      <c r="G108" s="35"/>
    </row>
    <row r="109" ht="21.75" customHeight="1">
      <c r="A109" s="30"/>
      <c r="B109" s="42" t="s">
        <v>77</v>
      </c>
      <c r="C109" s="26"/>
      <c r="D109" s="26"/>
      <c r="E109" s="26"/>
      <c r="F109" s="26"/>
      <c r="G109" s="26"/>
    </row>
    <row r="110" ht="21.75" customHeight="1">
      <c r="A110" s="30"/>
      <c r="B110" s="33"/>
      <c r="C110" s="26"/>
      <c r="D110" s="26"/>
      <c r="E110" s="26"/>
      <c r="F110" s="26"/>
      <c r="G110" s="26"/>
    </row>
    <row r="111" ht="21.75" customHeight="1">
      <c r="A111" s="30"/>
      <c r="B111" s="38" t="s">
        <v>85</v>
      </c>
      <c r="C111" s="35"/>
      <c r="D111" s="35"/>
      <c r="E111" s="35"/>
      <c r="F111" s="35"/>
      <c r="G111" s="35"/>
    </row>
    <row r="112" ht="21.75" customHeight="1">
      <c r="A112" s="33"/>
      <c r="B112" s="33"/>
      <c r="C112" s="35"/>
      <c r="D112" s="35"/>
      <c r="E112" s="35"/>
      <c r="F112" s="35"/>
      <c r="G112" s="35"/>
    </row>
    <row r="113" ht="15.75" customHeight="1"/>
    <row r="114" ht="15.75" customHeight="1"/>
    <row r="115" ht="19.5" customHeight="1">
      <c r="A115" s="17"/>
      <c r="B115" s="19" t="s">
        <v>7</v>
      </c>
      <c r="C115" s="23">
        <f>$J$43+0</f>
        <v>46265</v>
      </c>
      <c r="D115" s="23">
        <f>$J$43+1</f>
        <v>46266</v>
      </c>
      <c r="E115" s="23">
        <f>$J$43+2</f>
        <v>46267</v>
      </c>
      <c r="F115" s="23">
        <f>$J$43+3</f>
        <v>46268</v>
      </c>
      <c r="G115" s="23">
        <f>$J$43+4</f>
        <v>46269</v>
      </c>
    </row>
    <row r="116" ht="21.75" customHeight="1">
      <c r="A116" s="24" t="s">
        <v>93</v>
      </c>
      <c r="B116" s="25" t="s">
        <v>30</v>
      </c>
      <c r="C116" s="26"/>
      <c r="D116" s="26"/>
      <c r="E116" s="26"/>
      <c r="F116" s="26"/>
      <c r="G116" s="26"/>
    </row>
    <row r="117" ht="21.75" customHeight="1">
      <c r="A117" s="30"/>
      <c r="B117" s="33"/>
      <c r="C117" s="26"/>
      <c r="D117" s="26"/>
      <c r="E117" s="26"/>
      <c r="F117" s="26"/>
      <c r="G117" s="26"/>
    </row>
    <row r="118" ht="21.75" customHeight="1">
      <c r="A118" s="30"/>
      <c r="B118" s="34" t="s">
        <v>46</v>
      </c>
      <c r="C118" s="35"/>
      <c r="D118" s="35"/>
      <c r="E118" s="35"/>
      <c r="F118" s="35"/>
      <c r="G118" s="35"/>
    </row>
    <row r="119" ht="21.75" customHeight="1">
      <c r="A119" s="30"/>
      <c r="B119" s="33"/>
      <c r="C119" s="35"/>
      <c r="D119" s="35"/>
      <c r="E119" s="35"/>
      <c r="F119" s="35"/>
      <c r="G119" s="35"/>
    </row>
    <row r="120" ht="21.75" customHeight="1">
      <c r="A120" s="30"/>
      <c r="B120" s="42" t="s">
        <v>77</v>
      </c>
      <c r="C120" s="26"/>
      <c r="D120" s="26"/>
      <c r="E120" s="26"/>
      <c r="F120" s="26"/>
      <c r="G120" s="26"/>
    </row>
    <row r="121" ht="21.75" customHeight="1">
      <c r="A121" s="30"/>
      <c r="B121" s="33"/>
      <c r="C121" s="26"/>
      <c r="D121" s="26"/>
      <c r="E121" s="26"/>
      <c r="F121" s="26"/>
      <c r="G121" s="26"/>
    </row>
    <row r="122" ht="21.75" customHeight="1">
      <c r="A122" s="30"/>
      <c r="B122" s="38" t="s">
        <v>85</v>
      </c>
      <c r="C122" s="35"/>
      <c r="D122" s="35"/>
      <c r="E122" s="35"/>
      <c r="F122" s="35"/>
      <c r="G122" s="35"/>
    </row>
    <row r="123" ht="21.75" customHeight="1">
      <c r="A123" s="33"/>
      <c r="B123" s="33"/>
      <c r="C123" s="35"/>
      <c r="D123" s="35"/>
      <c r="E123" s="35"/>
      <c r="F123" s="35"/>
      <c r="G123" s="35"/>
    </row>
    <row r="124" ht="15.75" hidden="1" customHeight="1"/>
    <row r="125" ht="15.75" hidden="1" customHeight="1"/>
    <row r="126" ht="15.75" hidden="1" customHeight="1"/>
    <row r="127" ht="15.75" hidden="1" customHeight="1">
      <c r="A127" s="13" t="s">
        <v>94</v>
      </c>
    </row>
    <row r="128" ht="15.75" hidden="1" customHeight="1">
      <c r="A128" s="54" t="s">
        <v>95</v>
      </c>
      <c r="C128" s="27" t="s">
        <v>96</v>
      </c>
    </row>
    <row r="129" ht="15.75" hidden="1" customHeight="1">
      <c r="A129" s="54" t="s">
        <v>97</v>
      </c>
      <c r="C129" s="27" t="s">
        <v>98</v>
      </c>
    </row>
    <row r="130" ht="15.75" hidden="1" customHeight="1">
      <c r="A130" s="54" t="s">
        <v>99</v>
      </c>
      <c r="C130" s="27" t="s">
        <v>100</v>
      </c>
    </row>
    <row r="131" ht="15.75" hidden="1" customHeight="1"/>
    <row r="132" ht="15.75" hidden="1" customHeight="1">
      <c r="A132" s="55" t="s">
        <v>101</v>
      </c>
    </row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2">
    <mergeCell ref="B84:B86"/>
    <mergeCell ref="B87:B88"/>
    <mergeCell ref="B94:B95"/>
    <mergeCell ref="B96:B97"/>
    <mergeCell ref="B98:B99"/>
    <mergeCell ref="B100:B101"/>
    <mergeCell ref="B105:B106"/>
    <mergeCell ref="A128:B128"/>
    <mergeCell ref="A129:B129"/>
    <mergeCell ref="A130:B130"/>
    <mergeCell ref="B107:B108"/>
    <mergeCell ref="B109:B110"/>
    <mergeCell ref="A116:A123"/>
    <mergeCell ref="B116:B117"/>
    <mergeCell ref="B118:B119"/>
    <mergeCell ref="B120:B121"/>
    <mergeCell ref="B122:B123"/>
    <mergeCell ref="B15:B17"/>
    <mergeCell ref="B22:B24"/>
    <mergeCell ref="B25:B27"/>
    <mergeCell ref="B28:B30"/>
    <mergeCell ref="A1:J1"/>
    <mergeCell ref="A2:J2"/>
    <mergeCell ref="I5:J5"/>
    <mergeCell ref="A7:A18"/>
    <mergeCell ref="B7:B9"/>
    <mergeCell ref="B10:B12"/>
    <mergeCell ref="A22:A35"/>
    <mergeCell ref="B55:B57"/>
    <mergeCell ref="B60:B61"/>
    <mergeCell ref="B32:B33"/>
    <mergeCell ref="B34:B35"/>
    <mergeCell ref="A39:A48"/>
    <mergeCell ref="B39:B41"/>
    <mergeCell ref="B42:B45"/>
    <mergeCell ref="A52:A61"/>
    <mergeCell ref="B52:B54"/>
    <mergeCell ref="A81:A90"/>
    <mergeCell ref="A94:A101"/>
    <mergeCell ref="A105:A112"/>
    <mergeCell ref="B111:B112"/>
    <mergeCell ref="C128:G128"/>
    <mergeCell ref="C129:G129"/>
    <mergeCell ref="C130:G130"/>
    <mergeCell ref="A132:J132"/>
    <mergeCell ref="A65:A77"/>
    <mergeCell ref="B65:B67"/>
    <mergeCell ref="B68:B70"/>
    <mergeCell ref="B71:B73"/>
    <mergeCell ref="B76:B77"/>
    <mergeCell ref="B81:B83"/>
    <mergeCell ref="B89:B9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4" max="4" width="59.71"/>
    <col customWidth="1" min="5" max="5" width="83.0"/>
  </cols>
  <sheetData>
    <row r="1">
      <c r="A1" s="1" t="s">
        <v>0</v>
      </c>
      <c r="B1" s="4" t="s">
        <v>3</v>
      </c>
      <c r="C1" s="6" t="s">
        <v>4</v>
      </c>
      <c r="D1" s="7" t="s">
        <v>6</v>
      </c>
      <c r="E1" s="8" t="s">
        <v>8</v>
      </c>
      <c r="F1" s="9"/>
      <c r="G1" s="9"/>
    </row>
    <row r="2">
      <c r="A2" s="11">
        <v>46155.0</v>
      </c>
      <c r="B2" s="12">
        <v>0.5</v>
      </c>
      <c r="C2" s="14" t="s">
        <v>13</v>
      </c>
      <c r="D2" s="14" t="s">
        <v>14</v>
      </c>
      <c r="E2" s="15" t="s">
        <v>17</v>
      </c>
      <c r="F2" s="9"/>
      <c r="G2" s="9"/>
    </row>
    <row r="3">
      <c r="A3" s="11">
        <v>46162.0</v>
      </c>
      <c r="B3" s="12">
        <v>0.5</v>
      </c>
      <c r="C3" s="14" t="s">
        <v>13</v>
      </c>
      <c r="D3" s="14" t="s">
        <v>18</v>
      </c>
      <c r="E3" s="15" t="s">
        <v>19</v>
      </c>
      <c r="F3" s="9"/>
      <c r="G3" s="9"/>
    </row>
    <row r="4">
      <c r="A4" s="18">
        <v>46167.0</v>
      </c>
      <c r="B4" s="12">
        <v>0.375</v>
      </c>
      <c r="C4" s="14" t="s">
        <v>20</v>
      </c>
      <c r="D4" s="14" t="s">
        <v>21</v>
      </c>
      <c r="E4" s="15" t="s">
        <v>22</v>
      </c>
      <c r="F4" s="9"/>
      <c r="G4" s="9"/>
    </row>
    <row r="5">
      <c r="A5" s="11">
        <v>46169.0</v>
      </c>
      <c r="B5" s="12">
        <v>0.5</v>
      </c>
      <c r="C5" s="14" t="s">
        <v>13</v>
      </c>
      <c r="D5" s="14" t="s">
        <v>23</v>
      </c>
      <c r="E5" s="15" t="s">
        <v>24</v>
      </c>
      <c r="F5" s="9"/>
      <c r="G5" s="9"/>
    </row>
    <row r="6">
      <c r="A6" s="21">
        <v>46176.0</v>
      </c>
      <c r="B6" s="12">
        <v>0.5</v>
      </c>
      <c r="C6" s="14" t="s">
        <v>13</v>
      </c>
      <c r="D6" s="14" t="s">
        <v>25</v>
      </c>
      <c r="E6" s="15" t="s">
        <v>26</v>
      </c>
      <c r="F6" s="9"/>
      <c r="G6" s="9"/>
    </row>
    <row r="7">
      <c r="A7" s="11">
        <v>46182.0</v>
      </c>
      <c r="B7" s="12">
        <v>0.5</v>
      </c>
      <c r="C7" s="14" t="s">
        <v>13</v>
      </c>
      <c r="D7" s="14" t="s">
        <v>27</v>
      </c>
      <c r="E7" s="15" t="s">
        <v>28</v>
      </c>
      <c r="F7" s="9"/>
      <c r="G7" s="9"/>
    </row>
    <row r="8">
      <c r="A8" s="11">
        <v>46188.0</v>
      </c>
      <c r="B8" s="12">
        <v>0.5</v>
      </c>
      <c r="C8" s="14" t="s">
        <v>13</v>
      </c>
      <c r="D8" s="14" t="s">
        <v>32</v>
      </c>
      <c r="E8" s="15" t="s">
        <v>34</v>
      </c>
      <c r="F8" s="9"/>
      <c r="G8" s="9"/>
    </row>
    <row r="9">
      <c r="A9" s="11">
        <v>46196.0</v>
      </c>
      <c r="B9" s="12">
        <v>0.5</v>
      </c>
      <c r="C9" s="14" t="s">
        <v>13</v>
      </c>
      <c r="D9" s="14" t="s">
        <v>36</v>
      </c>
      <c r="E9" s="15" t="s">
        <v>37</v>
      </c>
      <c r="F9" s="9"/>
      <c r="G9" s="9"/>
    </row>
    <row r="10">
      <c r="A10" s="29" t="s">
        <v>38</v>
      </c>
      <c r="B10" s="31">
        <v>0.375</v>
      </c>
      <c r="C10" s="32" t="s">
        <v>39</v>
      </c>
      <c r="D10" s="14" t="s">
        <v>21</v>
      </c>
      <c r="E10" s="15" t="s">
        <v>40</v>
      </c>
      <c r="F10" s="9"/>
      <c r="G10" s="9"/>
    </row>
    <row r="11">
      <c r="A11" s="11">
        <v>46204.0</v>
      </c>
      <c r="B11" s="12">
        <v>0.5</v>
      </c>
      <c r="C11" s="14" t="s">
        <v>13</v>
      </c>
      <c r="D11" s="14" t="s">
        <v>42</v>
      </c>
      <c r="E11" s="15" t="s">
        <v>43</v>
      </c>
      <c r="F11" s="9"/>
      <c r="G11" s="9"/>
    </row>
    <row r="12">
      <c r="A12" s="11">
        <v>46211.0</v>
      </c>
      <c r="B12" s="12">
        <v>0.5</v>
      </c>
      <c r="C12" s="14" t="s">
        <v>13</v>
      </c>
      <c r="D12" s="14" t="s">
        <v>45</v>
      </c>
      <c r="E12" s="9"/>
      <c r="F12" s="9"/>
      <c r="G12" s="9"/>
    </row>
    <row r="13">
      <c r="A13" s="11">
        <v>46218.0</v>
      </c>
      <c r="B13" s="12">
        <v>0.5</v>
      </c>
      <c r="C13" s="14" t="s">
        <v>13</v>
      </c>
      <c r="D13" s="14" t="s">
        <v>47</v>
      </c>
      <c r="E13" s="9"/>
      <c r="F13" s="9"/>
      <c r="G13" s="9"/>
    </row>
    <row r="14">
      <c r="A14" s="9"/>
      <c r="B14" s="9"/>
      <c r="C14" s="9"/>
      <c r="D14" s="9"/>
      <c r="E14" s="9"/>
      <c r="F14" s="9"/>
      <c r="G14" s="9"/>
    </row>
    <row r="15">
      <c r="A15" s="9"/>
      <c r="B15" s="9"/>
      <c r="C15" s="9"/>
      <c r="D15" s="9"/>
      <c r="E15" s="9"/>
      <c r="F15" s="9"/>
      <c r="G15" s="9"/>
    </row>
    <row r="16">
      <c r="A16" s="9"/>
      <c r="B16" s="9"/>
      <c r="C16" s="9"/>
      <c r="D16" s="9"/>
      <c r="E16" s="9"/>
      <c r="F16" s="9"/>
      <c r="G16" s="9"/>
    </row>
    <row r="17">
      <c r="A17" s="9"/>
      <c r="B17" s="9"/>
      <c r="C17" s="9"/>
      <c r="D17" s="9"/>
      <c r="E17" s="9"/>
      <c r="F17" s="9"/>
      <c r="G17" s="9"/>
    </row>
    <row r="18">
      <c r="A18" s="9"/>
      <c r="B18" s="9"/>
      <c r="C18" s="9"/>
      <c r="D18" s="9"/>
      <c r="E18" s="9"/>
      <c r="F18" s="9"/>
      <c r="G18" s="9"/>
    </row>
    <row r="19">
      <c r="A19" s="9"/>
      <c r="B19" s="9"/>
      <c r="C19" s="9"/>
      <c r="D19" s="9"/>
      <c r="E19" s="9"/>
      <c r="F19" s="9"/>
      <c r="G19" s="9"/>
    </row>
    <row r="20">
      <c r="A20" s="9"/>
      <c r="B20" s="9"/>
      <c r="C20" s="9"/>
      <c r="D20" s="9"/>
      <c r="E20" s="9"/>
      <c r="F20" s="9"/>
      <c r="G20" s="9"/>
    </row>
    <row r="21">
      <c r="A21" s="9"/>
      <c r="B21" s="9"/>
      <c r="C21" s="9"/>
      <c r="D21" s="9"/>
      <c r="E21" s="9"/>
      <c r="F21" s="9"/>
      <c r="G21" s="9"/>
    </row>
    <row r="22">
      <c r="A22" s="9"/>
      <c r="B22" s="9"/>
      <c r="C22" s="9"/>
      <c r="D22" s="9"/>
      <c r="E22" s="9"/>
      <c r="F22" s="9"/>
      <c r="G22" s="9"/>
    </row>
    <row r="23">
      <c r="A23" s="9"/>
      <c r="B23" s="9"/>
      <c r="C23" s="9"/>
      <c r="D23" s="9"/>
      <c r="E23" s="9"/>
      <c r="F23" s="9"/>
      <c r="G23" s="9"/>
    </row>
    <row r="24">
      <c r="A24" s="9"/>
      <c r="B24" s="9"/>
      <c r="C24" s="9"/>
      <c r="D24" s="9"/>
      <c r="E24" s="9"/>
      <c r="F24" s="9"/>
      <c r="G24" s="9"/>
    </row>
    <row r="25">
      <c r="A25" s="9"/>
      <c r="B25" s="9"/>
      <c r="C25" s="9"/>
      <c r="D25" s="9"/>
      <c r="E25" s="9"/>
      <c r="F25" s="9"/>
      <c r="G25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0"/>
    <col customWidth="1" min="2" max="2" width="12.0"/>
    <col customWidth="1" min="3" max="3" width="8.0"/>
    <col customWidth="1" min="4" max="4" width="20.0"/>
    <col customWidth="1" min="5" max="7" width="16.0"/>
    <col customWidth="1" min="8" max="8" width="10.0"/>
  </cols>
  <sheetData>
    <row r="1">
      <c r="A1" s="3" t="s">
        <v>2</v>
      </c>
      <c r="B1" s="3" t="s">
        <v>0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11</v>
      </c>
      <c r="H1" s="3" t="s">
        <v>15</v>
      </c>
    </row>
    <row r="2">
      <c r="A2" s="20" t="str">
        <f>'1 - Staff Calendar View'!$A$7</f>
        <v>Wk 11</v>
      </c>
      <c r="B2" s="22">
        <f>'1 - Staff Calendar View'!C$6</f>
        <v>46209</v>
      </c>
      <c r="C2" s="20" t="str">
        <f t="shared" ref="C2:C361" si="1">TEXT(B2,"ddd")</f>
        <v>Mon</v>
      </c>
      <c r="D2" s="20" t="str">
        <f>'1 - Staff Calendar View'!$B$7</f>
        <v>Clayton Drop-in</v>
      </c>
      <c r="E2" s="20" t="str">
        <f>VLOOKUP(D2,'1 - Staff Calendar View'!$I$49:$J$51,2,FALSE())</f>
        <v>#N/A</v>
      </c>
      <c r="F2" s="20" t="str">
        <f>'1 - Staff Calendar View'!C$7</f>
        <v/>
      </c>
      <c r="G2" s="20" t="str">
        <f>IF('1 - Staff Calendar View'!C$9="-","-",'1 - Staff Calendar View'!C$9)</f>
        <v/>
      </c>
      <c r="H2" s="20" t="str">
        <f t="shared" ref="H2:H361" si="2">IF('2 - My Shifts'!$C$4="","",IF(OR(F2="-",F2=""),"",IF(UPPER(TRIM(F2))=UPPER(TRIM('2 - My Shifts'!$C$4)),ROW()-1,"")))</f>
        <v>#REF!</v>
      </c>
    </row>
    <row r="3">
      <c r="A3" s="20" t="str">
        <f>'1 - Staff Calendar View'!$A$7</f>
        <v>Wk 11</v>
      </c>
      <c r="B3" s="22">
        <f>'1 - Staff Calendar View'!C$6</f>
        <v>46209</v>
      </c>
      <c r="C3" s="20" t="str">
        <f t="shared" si="1"/>
        <v>Mon</v>
      </c>
      <c r="D3" s="20" t="str">
        <f>'1 - Staff Calendar View'!$B$7</f>
        <v>Clayton Drop-in</v>
      </c>
      <c r="E3" s="20" t="str">
        <f>VLOOKUP(D3,'1 - Staff Calendar View'!$I$49:$J$51,2,FALSE())</f>
        <v>#N/A</v>
      </c>
      <c r="F3" s="20" t="str">
        <f>'1 - Staff Calendar View'!C$9</f>
        <v/>
      </c>
      <c r="G3" s="20" t="str">
        <f>IF('1 - Staff Calendar View'!C$7="-","-",'1 - Staff Calendar View'!C$7)</f>
        <v/>
      </c>
      <c r="H3" s="20" t="str">
        <f t="shared" si="2"/>
        <v>#REF!</v>
      </c>
    </row>
    <row r="4">
      <c r="A4" s="20" t="str">
        <f>'1 - Staff Calendar View'!$A$7</f>
        <v>Wk 11</v>
      </c>
      <c r="B4" s="22">
        <f>'1 - Staff Calendar View'!C$6</f>
        <v>46209</v>
      </c>
      <c r="C4" s="20" t="str">
        <f t="shared" si="1"/>
        <v>Mon</v>
      </c>
      <c r="D4" s="20" t="str">
        <f>'1 - Staff Calendar View'!$B$10</f>
        <v>Caulfield Drop-in</v>
      </c>
      <c r="E4" s="20" t="str">
        <f>VLOOKUP(D4,'1 - Staff Calendar View'!$I$49:$J$51,2,FALSE())</f>
        <v>10:40AM-2:20PM</v>
      </c>
      <c r="F4" s="20" t="str">
        <f>'1 - Staff Calendar View'!C$10</f>
        <v/>
      </c>
      <c r="G4" s="20" t="str">
        <f>IF('1 - Staff Calendar View'!C$12="-","-",'1 - Staff Calendar View'!C$12)</f>
        <v/>
      </c>
      <c r="H4" s="20" t="str">
        <f t="shared" si="2"/>
        <v>#REF!</v>
      </c>
    </row>
    <row r="5">
      <c r="A5" s="20" t="str">
        <f>'1 - Staff Calendar View'!$A$7</f>
        <v>Wk 11</v>
      </c>
      <c r="B5" s="22">
        <f>'1 - Staff Calendar View'!C$6</f>
        <v>46209</v>
      </c>
      <c r="C5" s="20" t="str">
        <f t="shared" si="1"/>
        <v>Mon</v>
      </c>
      <c r="D5" s="20" t="str">
        <f>'1 - Staff Calendar View'!$B$10</f>
        <v>Caulfield Drop-in</v>
      </c>
      <c r="E5" s="20" t="str">
        <f>VLOOKUP(D5,'1 - Staff Calendar View'!$I$49:$J$51,2,FALSE())</f>
        <v>10:40AM-2:20PM</v>
      </c>
      <c r="F5" s="20" t="str">
        <f>'1 - Staff Calendar View'!C$12</f>
        <v/>
      </c>
      <c r="G5" s="20" t="str">
        <f>IF('1 - Staff Calendar View'!C$10="-","-",'1 - Staff Calendar View'!C$10)</f>
        <v/>
      </c>
      <c r="H5" s="20" t="str">
        <f t="shared" si="2"/>
        <v>#REF!</v>
      </c>
    </row>
    <row r="6">
      <c r="A6" s="20" t="str">
        <f>'1 - Staff Calendar View'!$A$7</f>
        <v>Wk 11</v>
      </c>
      <c r="B6" s="22">
        <f>'1 - Staff Calendar View'!C$6</f>
        <v>46209</v>
      </c>
      <c r="C6" s="20" t="str">
        <f t="shared" si="1"/>
        <v>Mon</v>
      </c>
      <c r="D6" s="20" t="str">
        <f>'1 - Staff Calendar View'!$B$13</f>
        <v>Webinar Faciliator</v>
      </c>
      <c r="E6" s="20" t="str">
        <f>VLOOKUP(D6,'1 - Staff Calendar View'!$I$49:$J$51,2,FALSE())</f>
        <v>#N/A</v>
      </c>
      <c r="F6" s="20" t="str">
        <f>'1 - Staff Calendar View'!C$13</f>
        <v/>
      </c>
      <c r="G6" s="20" t="str">
        <f>IF('1 - Staff Calendar View'!C$14="-","-",'1 - Staff Calendar View'!C$14)</f>
        <v/>
      </c>
      <c r="H6" s="20" t="str">
        <f t="shared" si="2"/>
        <v>#REF!</v>
      </c>
    </row>
    <row r="7">
      <c r="A7" s="20" t="str">
        <f>'1 - Staff Calendar View'!$A$7</f>
        <v>Wk 11</v>
      </c>
      <c r="B7" s="22">
        <f>'1 - Staff Calendar View'!C$6</f>
        <v>46209</v>
      </c>
      <c r="C7" s="20" t="str">
        <f t="shared" si="1"/>
        <v>Mon</v>
      </c>
      <c r="D7" s="20" t="str">
        <f>'1 - Staff Calendar View'!$B$13</f>
        <v>Webinar Faciliator</v>
      </c>
      <c r="E7" s="20" t="str">
        <f>VLOOKUP(D7,'1 - Staff Calendar View'!$I$49:$J$51,2,FALSE())</f>
        <v>#N/A</v>
      </c>
      <c r="F7" s="20" t="str">
        <f>'1 - Staff Calendar View'!C$14</f>
        <v/>
      </c>
      <c r="G7" s="20" t="str">
        <f>IF('1 - Staff Calendar View'!C$13="-","-",'1 - Staff Calendar View'!C$13)</f>
        <v/>
      </c>
      <c r="H7" s="20" t="str">
        <f t="shared" si="2"/>
        <v>#REF!</v>
      </c>
    </row>
    <row r="8">
      <c r="A8" s="20" t="str">
        <f>'1 - Staff Calendar View'!$A$7</f>
        <v>Wk 11</v>
      </c>
      <c r="B8" s="22">
        <f>'1 - Staff Calendar View'!C$6</f>
        <v>46209</v>
      </c>
      <c r="C8" s="20" t="str">
        <f t="shared" si="1"/>
        <v>Mon</v>
      </c>
      <c r="D8" s="20" t="str">
        <f>'1 - Staff Calendar View'!$B$16</f>
        <v/>
      </c>
      <c r="E8" s="20" t="str">
        <f>VLOOKUP(D8,'1 - Staff Calendar View'!$I$49:$J$51,2,FALSE())</f>
        <v>#N/A</v>
      </c>
      <c r="F8" s="20" t="str">
        <f>'1 - Staff Calendar View'!C$16</f>
        <v/>
      </c>
      <c r="G8" s="20" t="str">
        <f>IF('1 - Staff Calendar View'!C$18="-","-",'1 - Staff Calendar View'!C$18)</f>
        <v/>
      </c>
      <c r="H8" s="20" t="str">
        <f t="shared" si="2"/>
        <v>#REF!</v>
      </c>
    </row>
    <row r="9">
      <c r="A9" s="20" t="str">
        <f>'1 - Staff Calendar View'!$A$7</f>
        <v>Wk 11</v>
      </c>
      <c r="B9" s="22">
        <f>'1 - Staff Calendar View'!C$6</f>
        <v>46209</v>
      </c>
      <c r="C9" s="20" t="str">
        <f t="shared" si="1"/>
        <v>Mon</v>
      </c>
      <c r="D9" s="20" t="str">
        <f>'1 - Staff Calendar View'!$B$16</f>
        <v/>
      </c>
      <c r="E9" s="20" t="str">
        <f>VLOOKUP(D9,'1 - Staff Calendar View'!$I$49:$J$51,2,FALSE())</f>
        <v>#N/A</v>
      </c>
      <c r="F9" s="20" t="str">
        <f>'1 - Staff Calendar View'!C$18</f>
        <v/>
      </c>
      <c r="G9" s="20" t="str">
        <f>IF('1 - Staff Calendar View'!C$16="-","-",'1 - Staff Calendar View'!C$16)</f>
        <v/>
      </c>
      <c r="H9" s="20" t="str">
        <f t="shared" si="2"/>
        <v>#REF!</v>
      </c>
    </row>
    <row r="10">
      <c r="A10" s="20" t="str">
        <f>'1 - Staff Calendar View'!$A$7</f>
        <v>Wk 11</v>
      </c>
      <c r="B10" s="22">
        <f>'1 - Staff Calendar View'!D$6</f>
        <v>46210</v>
      </c>
      <c r="C10" s="20" t="str">
        <f t="shared" si="1"/>
        <v>Tue</v>
      </c>
      <c r="D10" s="20" t="str">
        <f>'1 - Staff Calendar View'!$B$7</f>
        <v>Clayton Drop-in</v>
      </c>
      <c r="E10" s="20" t="str">
        <f>VLOOKUP(D10,'1 - Staff Calendar View'!$I$49:$J$51,2,FALSE())</f>
        <v>#N/A</v>
      </c>
      <c r="F10" s="20" t="str">
        <f>'1 - Staff Calendar View'!D$7</f>
        <v>Sener</v>
      </c>
      <c r="G10" s="20" t="str">
        <f>IF('1 - Staff Calendar View'!D$9="-","-",'1 - Staff Calendar View'!D$9)</f>
        <v/>
      </c>
      <c r="H10" s="20" t="str">
        <f t="shared" si="2"/>
        <v>#REF!</v>
      </c>
    </row>
    <row r="11">
      <c r="A11" s="20" t="str">
        <f>'1 - Staff Calendar View'!$A$7</f>
        <v>Wk 11</v>
      </c>
      <c r="B11" s="22">
        <f>'1 - Staff Calendar View'!D$6</f>
        <v>46210</v>
      </c>
      <c r="C11" s="20" t="str">
        <f t="shared" si="1"/>
        <v>Tue</v>
      </c>
      <c r="D11" s="20" t="str">
        <f>'1 - Staff Calendar View'!$B$7</f>
        <v>Clayton Drop-in</v>
      </c>
      <c r="E11" s="20" t="str">
        <f>VLOOKUP(D11,'1 - Staff Calendar View'!$I$49:$J$51,2,FALSE())</f>
        <v>#N/A</v>
      </c>
      <c r="F11" s="20" t="str">
        <f>'1 - Staff Calendar View'!D$9</f>
        <v/>
      </c>
      <c r="G11" s="20" t="str">
        <f>IF('1 - Staff Calendar View'!D$7="-","-",'1 - Staff Calendar View'!D$7)</f>
        <v>Sener</v>
      </c>
      <c r="H11" s="20" t="str">
        <f t="shared" si="2"/>
        <v>#REF!</v>
      </c>
    </row>
    <row r="12">
      <c r="A12" s="20" t="str">
        <f>'1 - Staff Calendar View'!$A$7</f>
        <v>Wk 11</v>
      </c>
      <c r="B12" s="22">
        <f>'1 - Staff Calendar View'!D$6</f>
        <v>46210</v>
      </c>
      <c r="C12" s="20" t="str">
        <f t="shared" si="1"/>
        <v>Tue</v>
      </c>
      <c r="D12" s="20" t="str">
        <f>'1 - Staff Calendar View'!$B$10</f>
        <v>Caulfield Drop-in</v>
      </c>
      <c r="E12" s="20" t="str">
        <f>VLOOKUP(D12,'1 - Staff Calendar View'!$I$49:$J$51,2,FALSE())</f>
        <v>10:40AM-2:20PM</v>
      </c>
      <c r="F12" s="20" t="str">
        <f>'1 - Staff Calendar View'!D$10</f>
        <v>Hailey</v>
      </c>
      <c r="G12" s="20" t="str">
        <f>IF('1 - Staff Calendar View'!D$12="-","-",'1 - Staff Calendar View'!D$12)</f>
        <v>Advay</v>
      </c>
      <c r="H12" s="20" t="str">
        <f t="shared" si="2"/>
        <v>#REF!</v>
      </c>
    </row>
    <row r="13">
      <c r="A13" s="20" t="str">
        <f>'1 - Staff Calendar View'!$A$7</f>
        <v>Wk 11</v>
      </c>
      <c r="B13" s="22">
        <f>'1 - Staff Calendar View'!D$6</f>
        <v>46210</v>
      </c>
      <c r="C13" s="20" t="str">
        <f t="shared" si="1"/>
        <v>Tue</v>
      </c>
      <c r="D13" s="20" t="str">
        <f>'1 - Staff Calendar View'!$B$10</f>
        <v>Caulfield Drop-in</v>
      </c>
      <c r="E13" s="20" t="str">
        <f>VLOOKUP(D13,'1 - Staff Calendar View'!$I$49:$J$51,2,FALSE())</f>
        <v>10:40AM-2:20PM</v>
      </c>
      <c r="F13" s="20" t="str">
        <f>'1 - Staff Calendar View'!D$12</f>
        <v>Advay</v>
      </c>
      <c r="G13" s="20" t="str">
        <f>IF('1 - Staff Calendar View'!D$10="-","-",'1 - Staff Calendar View'!D$10)</f>
        <v>Hailey</v>
      </c>
      <c r="H13" s="20" t="str">
        <f t="shared" si="2"/>
        <v>#REF!</v>
      </c>
    </row>
    <row r="14">
      <c r="A14" s="20" t="str">
        <f>'1 - Staff Calendar View'!$A$7</f>
        <v>Wk 11</v>
      </c>
      <c r="B14" s="22">
        <f>'1 - Staff Calendar View'!D$6</f>
        <v>46210</v>
      </c>
      <c r="C14" s="20" t="str">
        <f t="shared" si="1"/>
        <v>Tue</v>
      </c>
      <c r="D14" s="20" t="str">
        <f>'1 - Staff Calendar View'!$B$13</f>
        <v>Webinar Faciliator</v>
      </c>
      <c r="E14" s="20" t="str">
        <f>VLOOKUP(D14,'1 - Staff Calendar View'!$I$49:$J$51,2,FALSE())</f>
        <v>#N/A</v>
      </c>
      <c r="F14" s="20" t="str">
        <f>'1 - Staff Calendar View'!D$13</f>
        <v/>
      </c>
      <c r="G14" s="20" t="str">
        <f>IF('1 - Staff Calendar View'!D$14="-","-",'1 - Staff Calendar View'!D$14)</f>
        <v/>
      </c>
      <c r="H14" s="20" t="str">
        <f t="shared" si="2"/>
        <v>#REF!</v>
      </c>
    </row>
    <row r="15">
      <c r="A15" s="20" t="str">
        <f>'1 - Staff Calendar View'!$A$7</f>
        <v>Wk 11</v>
      </c>
      <c r="B15" s="22">
        <f>'1 - Staff Calendar View'!D$6</f>
        <v>46210</v>
      </c>
      <c r="C15" s="20" t="str">
        <f t="shared" si="1"/>
        <v>Tue</v>
      </c>
      <c r="D15" s="20" t="str">
        <f>'1 - Staff Calendar View'!$B$13</f>
        <v>Webinar Faciliator</v>
      </c>
      <c r="E15" s="20" t="str">
        <f>VLOOKUP(D15,'1 - Staff Calendar View'!$I$49:$J$51,2,FALSE())</f>
        <v>#N/A</v>
      </c>
      <c r="F15" s="20" t="str">
        <f>'1 - Staff Calendar View'!D$14</f>
        <v/>
      </c>
      <c r="G15" s="20" t="str">
        <f>IF('1 - Staff Calendar View'!D$13="-","-",'1 - Staff Calendar View'!D$13)</f>
        <v/>
      </c>
      <c r="H15" s="20" t="str">
        <f t="shared" si="2"/>
        <v>#REF!</v>
      </c>
    </row>
    <row r="16">
      <c r="A16" s="20" t="str">
        <f>'1 - Staff Calendar View'!$A$7</f>
        <v>Wk 11</v>
      </c>
      <c r="B16" s="22">
        <f>'1 - Staff Calendar View'!D$6</f>
        <v>46210</v>
      </c>
      <c r="C16" s="20" t="str">
        <f t="shared" si="1"/>
        <v>Tue</v>
      </c>
      <c r="D16" s="20" t="str">
        <f>'1 - Staff Calendar View'!$B$16</f>
        <v/>
      </c>
      <c r="E16" s="20" t="str">
        <f>VLOOKUP(D16,'1 - Staff Calendar View'!$I$49:$J$51,2,FALSE())</f>
        <v>#N/A</v>
      </c>
      <c r="F16" s="20" t="str">
        <f>'1 - Staff Calendar View'!D$16</f>
        <v/>
      </c>
      <c r="G16" s="20" t="str">
        <f>IF('1 - Staff Calendar View'!D$18="-","-",'1 - Staff Calendar View'!D$18)</f>
        <v/>
      </c>
      <c r="H16" s="20" t="str">
        <f t="shared" si="2"/>
        <v>#REF!</v>
      </c>
    </row>
    <row r="17">
      <c r="A17" s="20" t="str">
        <f>'1 - Staff Calendar View'!$A$7</f>
        <v>Wk 11</v>
      </c>
      <c r="B17" s="22">
        <f>'1 - Staff Calendar View'!D$6</f>
        <v>46210</v>
      </c>
      <c r="C17" s="20" t="str">
        <f t="shared" si="1"/>
        <v>Tue</v>
      </c>
      <c r="D17" s="20" t="str">
        <f>'1 - Staff Calendar View'!$B$16</f>
        <v/>
      </c>
      <c r="E17" s="20" t="str">
        <f>VLOOKUP(D17,'1 - Staff Calendar View'!$I$49:$J$51,2,FALSE())</f>
        <v>#N/A</v>
      </c>
      <c r="F17" s="20" t="str">
        <f>'1 - Staff Calendar View'!D$18</f>
        <v/>
      </c>
      <c r="G17" s="20" t="str">
        <f>IF('1 - Staff Calendar View'!D$16="-","-",'1 - Staff Calendar View'!D$16)</f>
        <v/>
      </c>
      <c r="H17" s="20" t="str">
        <f t="shared" si="2"/>
        <v>#REF!</v>
      </c>
    </row>
    <row r="18">
      <c r="A18" s="20" t="str">
        <f>'1 - Staff Calendar View'!$A$7</f>
        <v>Wk 11</v>
      </c>
      <c r="B18" s="22">
        <f>'1 - Staff Calendar View'!E$6</f>
        <v>46211</v>
      </c>
      <c r="C18" s="20" t="str">
        <f t="shared" si="1"/>
        <v>Wed</v>
      </c>
      <c r="D18" s="20" t="str">
        <f>'1 - Staff Calendar View'!$B$7</f>
        <v>Clayton Drop-in</v>
      </c>
      <c r="E18" s="20" t="str">
        <f>VLOOKUP(D18,'1 - Staff Calendar View'!$I$49:$J$51,2,FALSE())</f>
        <v>#N/A</v>
      </c>
      <c r="F18" s="20" t="str">
        <f>'1 - Staff Calendar View'!E$7</f>
        <v>Sener</v>
      </c>
      <c r="G18" s="20" t="str">
        <f>IF('1 - Staff Calendar View'!E$9="-","-",'1 - Staff Calendar View'!E$9)</f>
        <v>Advay</v>
      </c>
      <c r="H18" s="20" t="str">
        <f t="shared" si="2"/>
        <v>#REF!</v>
      </c>
    </row>
    <row r="19">
      <c r="A19" s="20" t="str">
        <f>'1 - Staff Calendar View'!$A$7</f>
        <v>Wk 11</v>
      </c>
      <c r="B19" s="22">
        <f>'1 - Staff Calendar View'!E$6</f>
        <v>46211</v>
      </c>
      <c r="C19" s="20" t="str">
        <f t="shared" si="1"/>
        <v>Wed</v>
      </c>
      <c r="D19" s="20" t="str">
        <f>'1 - Staff Calendar View'!$B$7</f>
        <v>Clayton Drop-in</v>
      </c>
      <c r="E19" s="20" t="str">
        <f>VLOOKUP(D19,'1 - Staff Calendar View'!$I$49:$J$51,2,FALSE())</f>
        <v>#N/A</v>
      </c>
      <c r="F19" s="20" t="str">
        <f>'1 - Staff Calendar View'!E$9</f>
        <v>Advay</v>
      </c>
      <c r="G19" s="20" t="str">
        <f>IF('1 - Staff Calendar View'!E$7="-","-",'1 - Staff Calendar View'!E$7)</f>
        <v>Sener</v>
      </c>
      <c r="H19" s="20" t="str">
        <f t="shared" si="2"/>
        <v>#REF!</v>
      </c>
    </row>
    <row r="20">
      <c r="A20" s="20" t="str">
        <f>'1 - Staff Calendar View'!$A$7</f>
        <v>Wk 11</v>
      </c>
      <c r="B20" s="22">
        <f>'1 - Staff Calendar View'!E$6</f>
        <v>46211</v>
      </c>
      <c r="C20" s="20" t="str">
        <f t="shared" si="1"/>
        <v>Wed</v>
      </c>
      <c r="D20" s="20" t="str">
        <f>'1 - Staff Calendar View'!$B$10</f>
        <v>Caulfield Drop-in</v>
      </c>
      <c r="E20" s="20" t="str">
        <f>VLOOKUP(D20,'1 - Staff Calendar View'!$I$49:$J$51,2,FALSE())</f>
        <v>10:40AM-2:20PM</v>
      </c>
      <c r="F20" s="20" t="str">
        <f>'1 - Staff Calendar View'!E$10</f>
        <v>Jamein</v>
      </c>
      <c r="G20" s="20" t="str">
        <f>IF('1 - Staff Calendar View'!E$12="-","-",'1 - Staff Calendar View'!E$12)</f>
        <v/>
      </c>
      <c r="H20" s="20" t="str">
        <f t="shared" si="2"/>
        <v>#REF!</v>
      </c>
    </row>
    <row r="21" ht="15.75" customHeight="1">
      <c r="A21" s="20" t="str">
        <f>'1 - Staff Calendar View'!$A$7</f>
        <v>Wk 11</v>
      </c>
      <c r="B21" s="22">
        <f>'1 - Staff Calendar View'!E$6</f>
        <v>46211</v>
      </c>
      <c r="C21" s="20" t="str">
        <f t="shared" si="1"/>
        <v>Wed</v>
      </c>
      <c r="D21" s="20" t="str">
        <f>'1 - Staff Calendar View'!$B$10</f>
        <v>Caulfield Drop-in</v>
      </c>
      <c r="E21" s="20" t="str">
        <f>VLOOKUP(D21,'1 - Staff Calendar View'!$I$49:$J$51,2,FALSE())</f>
        <v>10:40AM-2:20PM</v>
      </c>
      <c r="F21" s="20" t="str">
        <f>'1 - Staff Calendar View'!E$12</f>
        <v/>
      </c>
      <c r="G21" s="20" t="str">
        <f>IF('1 - Staff Calendar View'!E$10="-","-",'1 - Staff Calendar View'!E$10)</f>
        <v>Jamein</v>
      </c>
      <c r="H21" s="20" t="str">
        <f t="shared" si="2"/>
        <v>#REF!</v>
      </c>
    </row>
    <row r="22" ht="15.75" customHeight="1">
      <c r="A22" s="20" t="str">
        <f>'1 - Staff Calendar View'!$A$7</f>
        <v>Wk 11</v>
      </c>
      <c r="B22" s="22">
        <f>'1 - Staff Calendar View'!E$6</f>
        <v>46211</v>
      </c>
      <c r="C22" s="20" t="str">
        <f t="shared" si="1"/>
        <v>Wed</v>
      </c>
      <c r="D22" s="20" t="str">
        <f>'1 - Staff Calendar View'!$B$13</f>
        <v>Webinar Faciliator</v>
      </c>
      <c r="E22" s="20" t="str">
        <f>VLOOKUP(D22,'1 - Staff Calendar View'!$I$49:$J$51,2,FALSE())</f>
        <v>#N/A</v>
      </c>
      <c r="F22" s="20" t="str">
        <f>'1 - Staff Calendar View'!E$13</f>
        <v>Omila</v>
      </c>
      <c r="G22" s="20" t="str">
        <f>IF('1 - Staff Calendar View'!E$14="-","-",'1 - Staff Calendar View'!E$14)</f>
        <v>Grace</v>
      </c>
      <c r="H22" s="20" t="str">
        <f t="shared" si="2"/>
        <v>#REF!</v>
      </c>
    </row>
    <row r="23" ht="15.75" customHeight="1">
      <c r="A23" s="20" t="str">
        <f>'1 - Staff Calendar View'!$A$7</f>
        <v>Wk 11</v>
      </c>
      <c r="B23" s="22">
        <f>'1 - Staff Calendar View'!E$6</f>
        <v>46211</v>
      </c>
      <c r="C23" s="20" t="str">
        <f t="shared" si="1"/>
        <v>Wed</v>
      </c>
      <c r="D23" s="20" t="str">
        <f>'1 - Staff Calendar View'!$B$13</f>
        <v>Webinar Faciliator</v>
      </c>
      <c r="E23" s="20" t="str">
        <f>VLOOKUP(D23,'1 - Staff Calendar View'!$I$49:$J$51,2,FALSE())</f>
        <v>#N/A</v>
      </c>
      <c r="F23" s="20" t="str">
        <f>'1 - Staff Calendar View'!E$14</f>
        <v>Grace</v>
      </c>
      <c r="G23" s="20" t="str">
        <f>IF('1 - Staff Calendar View'!E$13="-","-",'1 - Staff Calendar View'!E$13)</f>
        <v>Omila</v>
      </c>
      <c r="H23" s="20" t="str">
        <f t="shared" si="2"/>
        <v>#REF!</v>
      </c>
    </row>
    <row r="24" ht="15.75" customHeight="1">
      <c r="A24" s="20" t="str">
        <f>'1 - Staff Calendar View'!$A$7</f>
        <v>Wk 11</v>
      </c>
      <c r="B24" s="22">
        <f>'1 - Staff Calendar View'!E$6</f>
        <v>46211</v>
      </c>
      <c r="C24" s="20" t="str">
        <f t="shared" si="1"/>
        <v>Wed</v>
      </c>
      <c r="D24" s="20" t="str">
        <f>'1 - Staff Calendar View'!$B$16</f>
        <v/>
      </c>
      <c r="E24" s="20" t="str">
        <f>VLOOKUP(D24,'1 - Staff Calendar View'!$I$49:$J$51,2,FALSE())</f>
        <v>#N/A</v>
      </c>
      <c r="F24" s="20" t="str">
        <f>'1 - Staff Calendar View'!E$16</f>
        <v>Ekachit</v>
      </c>
      <c r="G24" s="20" t="str">
        <f>IF('1 - Staff Calendar View'!E$18="-","-",'1 - Staff Calendar View'!E$18)</f>
        <v/>
      </c>
      <c r="H24" s="20" t="str">
        <f t="shared" si="2"/>
        <v>#REF!</v>
      </c>
    </row>
    <row r="25" ht="15.75" customHeight="1">
      <c r="A25" s="20" t="str">
        <f>'1 - Staff Calendar View'!$A$7</f>
        <v>Wk 11</v>
      </c>
      <c r="B25" s="22">
        <f>'1 - Staff Calendar View'!E$6</f>
        <v>46211</v>
      </c>
      <c r="C25" s="20" t="str">
        <f t="shared" si="1"/>
        <v>Wed</v>
      </c>
      <c r="D25" s="20" t="str">
        <f>'1 - Staff Calendar View'!$B$16</f>
        <v/>
      </c>
      <c r="E25" s="20" t="str">
        <f>VLOOKUP(D25,'1 - Staff Calendar View'!$I$49:$J$51,2,FALSE())</f>
        <v>#N/A</v>
      </c>
      <c r="F25" s="20" t="str">
        <f>'1 - Staff Calendar View'!E$18</f>
        <v/>
      </c>
      <c r="G25" s="20" t="str">
        <f>IF('1 - Staff Calendar View'!E$16="-","-",'1 - Staff Calendar View'!E$16)</f>
        <v>Ekachit</v>
      </c>
      <c r="H25" s="20" t="str">
        <f t="shared" si="2"/>
        <v>#REF!</v>
      </c>
    </row>
    <row r="26" ht="15.75" customHeight="1">
      <c r="A26" s="20" t="str">
        <f>'1 - Staff Calendar View'!$A$7</f>
        <v>Wk 11</v>
      </c>
      <c r="B26" s="22">
        <f>'1 - Staff Calendar View'!F$6</f>
        <v>46212</v>
      </c>
      <c r="C26" s="20" t="str">
        <f t="shared" si="1"/>
        <v>Thu</v>
      </c>
      <c r="D26" s="20" t="str">
        <f>'1 - Staff Calendar View'!$B$7</f>
        <v>Clayton Drop-in</v>
      </c>
      <c r="E26" s="20" t="str">
        <f>VLOOKUP(D26,'1 - Staff Calendar View'!$I$49:$J$51,2,FALSE())</f>
        <v>#N/A</v>
      </c>
      <c r="F26" s="20" t="str">
        <f>'1 - Staff Calendar View'!F$7</f>
        <v>Omila</v>
      </c>
      <c r="G26" s="20" t="str">
        <f>IF('1 - Staff Calendar View'!F$9="-","-",'1 - Staff Calendar View'!F$9)</f>
        <v/>
      </c>
      <c r="H26" s="20" t="str">
        <f t="shared" si="2"/>
        <v>#REF!</v>
      </c>
    </row>
    <row r="27" ht="15.75" customHeight="1">
      <c r="A27" s="20" t="str">
        <f>'1 - Staff Calendar View'!$A$7</f>
        <v>Wk 11</v>
      </c>
      <c r="B27" s="22">
        <f>'1 - Staff Calendar View'!F$6</f>
        <v>46212</v>
      </c>
      <c r="C27" s="20" t="str">
        <f t="shared" si="1"/>
        <v>Thu</v>
      </c>
      <c r="D27" s="20" t="str">
        <f>'1 - Staff Calendar View'!$B$7</f>
        <v>Clayton Drop-in</v>
      </c>
      <c r="E27" s="20" t="str">
        <f>VLOOKUP(D27,'1 - Staff Calendar View'!$I$49:$J$51,2,FALSE())</f>
        <v>#N/A</v>
      </c>
      <c r="F27" s="20" t="str">
        <f>'1 - Staff Calendar View'!F$9</f>
        <v/>
      </c>
      <c r="G27" s="20" t="str">
        <f>IF('1 - Staff Calendar View'!F$7="-","-",'1 - Staff Calendar View'!F$7)</f>
        <v>Omila</v>
      </c>
      <c r="H27" s="20" t="str">
        <f t="shared" si="2"/>
        <v>#REF!</v>
      </c>
    </row>
    <row r="28" ht="15.75" customHeight="1">
      <c r="A28" s="20" t="str">
        <f>'1 - Staff Calendar View'!$A$7</f>
        <v>Wk 11</v>
      </c>
      <c r="B28" s="22">
        <f>'1 - Staff Calendar View'!F$6</f>
        <v>46212</v>
      </c>
      <c r="C28" s="20" t="str">
        <f t="shared" si="1"/>
        <v>Thu</v>
      </c>
      <c r="D28" s="20" t="str">
        <f>'1 - Staff Calendar View'!$B$10</f>
        <v>Caulfield Drop-in</v>
      </c>
      <c r="E28" s="20" t="str">
        <f>VLOOKUP(D28,'1 - Staff Calendar View'!$I$49:$J$51,2,FALSE())</f>
        <v>10:40AM-2:20PM</v>
      </c>
      <c r="F28" s="20" t="str">
        <f>'1 - Staff Calendar View'!F$10</f>
        <v>Sener </v>
      </c>
      <c r="G28" s="20" t="str">
        <f>IF('1 - Staff Calendar View'!F$12="-","-",'1 - Staff Calendar View'!F$12)</f>
        <v/>
      </c>
      <c r="H28" s="20" t="str">
        <f t="shared" si="2"/>
        <v>#REF!</v>
      </c>
    </row>
    <row r="29" ht="15.75" customHeight="1">
      <c r="A29" s="20" t="str">
        <f>'1 - Staff Calendar View'!$A$7</f>
        <v>Wk 11</v>
      </c>
      <c r="B29" s="22">
        <f>'1 - Staff Calendar View'!F$6</f>
        <v>46212</v>
      </c>
      <c r="C29" s="20" t="str">
        <f t="shared" si="1"/>
        <v>Thu</v>
      </c>
      <c r="D29" s="20" t="str">
        <f>'1 - Staff Calendar View'!$B$10</f>
        <v>Caulfield Drop-in</v>
      </c>
      <c r="E29" s="20" t="str">
        <f>VLOOKUP(D29,'1 - Staff Calendar View'!$I$49:$J$51,2,FALSE())</f>
        <v>10:40AM-2:20PM</v>
      </c>
      <c r="F29" s="20" t="str">
        <f>'1 - Staff Calendar View'!F$12</f>
        <v/>
      </c>
      <c r="G29" s="20" t="str">
        <f>IF('1 - Staff Calendar View'!F$10="-","-",'1 - Staff Calendar View'!F$10)</f>
        <v>Sener </v>
      </c>
      <c r="H29" s="20" t="str">
        <f t="shared" si="2"/>
        <v>#REF!</v>
      </c>
    </row>
    <row r="30" ht="15.75" customHeight="1">
      <c r="A30" s="20" t="str">
        <f>'1 - Staff Calendar View'!$A$7</f>
        <v>Wk 11</v>
      </c>
      <c r="B30" s="22">
        <f>'1 - Staff Calendar View'!F$6</f>
        <v>46212</v>
      </c>
      <c r="C30" s="20" t="str">
        <f t="shared" si="1"/>
        <v>Thu</v>
      </c>
      <c r="D30" s="20" t="str">
        <f>'1 - Staff Calendar View'!$B$13</f>
        <v>Webinar Faciliator</v>
      </c>
      <c r="E30" s="20" t="str">
        <f>VLOOKUP(D30,'1 - Staff Calendar View'!$I$49:$J$51,2,FALSE())</f>
        <v>#N/A</v>
      </c>
      <c r="F30" s="20" t="str">
        <f>'1 - Staff Calendar View'!F$13</f>
        <v/>
      </c>
      <c r="G30" s="20" t="str">
        <f>IF('1 - Staff Calendar View'!F$14="-","-",'1 - Staff Calendar View'!F$14)</f>
        <v/>
      </c>
      <c r="H30" s="20" t="str">
        <f t="shared" si="2"/>
        <v>#REF!</v>
      </c>
    </row>
    <row r="31" ht="15.75" customHeight="1">
      <c r="A31" s="20" t="str">
        <f>'1 - Staff Calendar View'!$A$7</f>
        <v>Wk 11</v>
      </c>
      <c r="B31" s="22">
        <f>'1 - Staff Calendar View'!F$6</f>
        <v>46212</v>
      </c>
      <c r="C31" s="20" t="str">
        <f t="shared" si="1"/>
        <v>Thu</v>
      </c>
      <c r="D31" s="20" t="str">
        <f>'1 - Staff Calendar View'!$B$13</f>
        <v>Webinar Faciliator</v>
      </c>
      <c r="E31" s="20" t="str">
        <f>VLOOKUP(D31,'1 - Staff Calendar View'!$I$49:$J$51,2,FALSE())</f>
        <v>#N/A</v>
      </c>
      <c r="F31" s="20" t="str">
        <f>'1 - Staff Calendar View'!F$14</f>
        <v/>
      </c>
      <c r="G31" s="20" t="str">
        <f>IF('1 - Staff Calendar View'!F$13="-","-",'1 - Staff Calendar View'!F$13)</f>
        <v/>
      </c>
      <c r="H31" s="20" t="str">
        <f t="shared" si="2"/>
        <v>#REF!</v>
      </c>
    </row>
    <row r="32" ht="15.75" customHeight="1">
      <c r="A32" s="20" t="str">
        <f>'1 - Staff Calendar View'!$A$7</f>
        <v>Wk 11</v>
      </c>
      <c r="B32" s="22">
        <f>'1 - Staff Calendar View'!F$6</f>
        <v>46212</v>
      </c>
      <c r="C32" s="20" t="str">
        <f t="shared" si="1"/>
        <v>Thu</v>
      </c>
      <c r="D32" s="20" t="str">
        <f>'1 - Staff Calendar View'!$B$16</f>
        <v/>
      </c>
      <c r="E32" s="20" t="str">
        <f>VLOOKUP(D32,'1 - Staff Calendar View'!$I$49:$J$51,2,FALSE())</f>
        <v>#N/A</v>
      </c>
      <c r="F32" s="20" t="str">
        <f>'1 - Staff Calendar View'!F$16</f>
        <v/>
      </c>
      <c r="G32" s="20" t="str">
        <f>IF('1 - Staff Calendar View'!F$18="-","-",'1 - Staff Calendar View'!F$18)</f>
        <v/>
      </c>
      <c r="H32" s="20" t="str">
        <f t="shared" si="2"/>
        <v>#REF!</v>
      </c>
    </row>
    <row r="33" ht="15.75" customHeight="1">
      <c r="A33" s="20" t="str">
        <f>'1 - Staff Calendar View'!$A$7</f>
        <v>Wk 11</v>
      </c>
      <c r="B33" s="22">
        <f>'1 - Staff Calendar View'!F$6</f>
        <v>46212</v>
      </c>
      <c r="C33" s="20" t="str">
        <f t="shared" si="1"/>
        <v>Thu</v>
      </c>
      <c r="D33" s="20" t="str">
        <f>'1 - Staff Calendar View'!$B$16</f>
        <v/>
      </c>
      <c r="E33" s="20" t="str">
        <f>VLOOKUP(D33,'1 - Staff Calendar View'!$I$49:$J$51,2,FALSE())</f>
        <v>#N/A</v>
      </c>
      <c r="F33" s="20" t="str">
        <f>'1 - Staff Calendar View'!F$18</f>
        <v/>
      </c>
      <c r="G33" s="20" t="str">
        <f>IF('1 - Staff Calendar View'!F$16="-","-",'1 - Staff Calendar View'!F$16)</f>
        <v/>
      </c>
      <c r="H33" s="20" t="str">
        <f t="shared" si="2"/>
        <v>#REF!</v>
      </c>
    </row>
    <row r="34" ht="15.75" customHeight="1">
      <c r="A34" s="20" t="str">
        <f>'1 - Staff Calendar View'!$A$7</f>
        <v>Wk 11</v>
      </c>
      <c r="B34" s="22">
        <f>'1 - Staff Calendar View'!G$6</f>
        <v>46213</v>
      </c>
      <c r="C34" s="20" t="str">
        <f t="shared" si="1"/>
        <v>Fri</v>
      </c>
      <c r="D34" s="20" t="str">
        <f>'1 - Staff Calendar View'!$B$7</f>
        <v>Clayton Drop-in</v>
      </c>
      <c r="E34" s="20" t="str">
        <f>VLOOKUP(D34,'1 - Staff Calendar View'!$I$49:$J$51,2,FALSE())</f>
        <v>#N/A</v>
      </c>
      <c r="F34" s="20" t="str">
        <f>'1 - Staff Calendar View'!G$7</f>
        <v/>
      </c>
      <c r="G34" s="20" t="str">
        <f>IF('1 - Staff Calendar View'!G$9="-","-",'1 - Staff Calendar View'!G$9)</f>
        <v/>
      </c>
      <c r="H34" s="20" t="str">
        <f t="shared" si="2"/>
        <v>#REF!</v>
      </c>
    </row>
    <row r="35" ht="15.75" customHeight="1">
      <c r="A35" s="20" t="str">
        <f>'1 - Staff Calendar View'!$A$7</f>
        <v>Wk 11</v>
      </c>
      <c r="B35" s="22">
        <f>'1 - Staff Calendar View'!G$6</f>
        <v>46213</v>
      </c>
      <c r="C35" s="20" t="str">
        <f t="shared" si="1"/>
        <v>Fri</v>
      </c>
      <c r="D35" s="20" t="str">
        <f>'1 - Staff Calendar View'!$B$7</f>
        <v>Clayton Drop-in</v>
      </c>
      <c r="E35" s="20" t="str">
        <f>VLOOKUP(D35,'1 - Staff Calendar View'!$I$49:$J$51,2,FALSE())</f>
        <v>#N/A</v>
      </c>
      <c r="F35" s="20" t="str">
        <f>'1 - Staff Calendar View'!G$9</f>
        <v/>
      </c>
      <c r="G35" s="20" t="str">
        <f>IF('1 - Staff Calendar View'!G$7="-","-",'1 - Staff Calendar View'!G$7)</f>
        <v/>
      </c>
      <c r="H35" s="20" t="str">
        <f t="shared" si="2"/>
        <v>#REF!</v>
      </c>
    </row>
    <row r="36" ht="15.75" customHeight="1">
      <c r="A36" s="20" t="str">
        <f>'1 - Staff Calendar View'!$A$7</f>
        <v>Wk 11</v>
      </c>
      <c r="B36" s="22">
        <f>'1 - Staff Calendar View'!G$6</f>
        <v>46213</v>
      </c>
      <c r="C36" s="20" t="str">
        <f t="shared" si="1"/>
        <v>Fri</v>
      </c>
      <c r="D36" s="20" t="str">
        <f>'1 - Staff Calendar View'!$B$10</f>
        <v>Caulfield Drop-in</v>
      </c>
      <c r="E36" s="20" t="str">
        <f>VLOOKUP(D36,'1 - Staff Calendar View'!$I$49:$J$51,2,FALSE())</f>
        <v>10:40AM-2:20PM</v>
      </c>
      <c r="F36" s="20" t="str">
        <f>'1 - Staff Calendar View'!G$10</f>
        <v/>
      </c>
      <c r="G36" s="20" t="str">
        <f>IF('1 - Staff Calendar View'!G$12="-","-",'1 - Staff Calendar View'!G$12)</f>
        <v/>
      </c>
      <c r="H36" s="20" t="str">
        <f t="shared" si="2"/>
        <v>#REF!</v>
      </c>
    </row>
    <row r="37" ht="15.75" customHeight="1">
      <c r="A37" s="20" t="str">
        <f>'1 - Staff Calendar View'!$A$7</f>
        <v>Wk 11</v>
      </c>
      <c r="B37" s="22">
        <f>'1 - Staff Calendar View'!G$6</f>
        <v>46213</v>
      </c>
      <c r="C37" s="20" t="str">
        <f t="shared" si="1"/>
        <v>Fri</v>
      </c>
      <c r="D37" s="20" t="str">
        <f>'1 - Staff Calendar View'!$B$10</f>
        <v>Caulfield Drop-in</v>
      </c>
      <c r="E37" s="20" t="str">
        <f>VLOOKUP(D37,'1 - Staff Calendar View'!$I$49:$J$51,2,FALSE())</f>
        <v>10:40AM-2:20PM</v>
      </c>
      <c r="F37" s="20" t="str">
        <f>'1 - Staff Calendar View'!G$12</f>
        <v/>
      </c>
      <c r="G37" s="20" t="str">
        <f>IF('1 - Staff Calendar View'!G$10="-","-",'1 - Staff Calendar View'!G$10)</f>
        <v/>
      </c>
      <c r="H37" s="20" t="str">
        <f t="shared" si="2"/>
        <v>#REF!</v>
      </c>
    </row>
    <row r="38" ht="15.75" customHeight="1">
      <c r="A38" s="20" t="str">
        <f>'1 - Staff Calendar View'!$A$7</f>
        <v>Wk 11</v>
      </c>
      <c r="B38" s="22">
        <f>'1 - Staff Calendar View'!G$6</f>
        <v>46213</v>
      </c>
      <c r="C38" s="20" t="str">
        <f t="shared" si="1"/>
        <v>Fri</v>
      </c>
      <c r="D38" s="20" t="str">
        <f>'1 - Staff Calendar View'!$B$13</f>
        <v>Webinar Faciliator</v>
      </c>
      <c r="E38" s="20" t="str">
        <f>VLOOKUP(D38,'1 - Staff Calendar View'!$I$49:$J$51,2,FALSE())</f>
        <v>#N/A</v>
      </c>
      <c r="F38" s="20" t="str">
        <f>'1 - Staff Calendar View'!G$13</f>
        <v/>
      </c>
      <c r="G38" s="20" t="str">
        <f>IF('1 - Staff Calendar View'!G$14="-","-",'1 - Staff Calendar View'!G$14)</f>
        <v/>
      </c>
      <c r="H38" s="20" t="str">
        <f t="shared" si="2"/>
        <v>#REF!</v>
      </c>
    </row>
    <row r="39" ht="15.75" customHeight="1">
      <c r="A39" s="20" t="str">
        <f>'1 - Staff Calendar View'!$A$7</f>
        <v>Wk 11</v>
      </c>
      <c r="B39" s="22">
        <f>'1 - Staff Calendar View'!G$6</f>
        <v>46213</v>
      </c>
      <c r="C39" s="20" t="str">
        <f t="shared" si="1"/>
        <v>Fri</v>
      </c>
      <c r="D39" s="20" t="str">
        <f>'1 - Staff Calendar View'!$B$13</f>
        <v>Webinar Faciliator</v>
      </c>
      <c r="E39" s="20" t="str">
        <f>VLOOKUP(D39,'1 - Staff Calendar View'!$I$49:$J$51,2,FALSE())</f>
        <v>#N/A</v>
      </c>
      <c r="F39" s="20" t="str">
        <f>'1 - Staff Calendar View'!G$14</f>
        <v/>
      </c>
      <c r="G39" s="20" t="str">
        <f>IF('1 - Staff Calendar View'!G$13="-","-",'1 - Staff Calendar View'!G$13)</f>
        <v/>
      </c>
      <c r="H39" s="20" t="str">
        <f t="shared" si="2"/>
        <v>#REF!</v>
      </c>
    </row>
    <row r="40" ht="15.75" customHeight="1">
      <c r="A40" s="20" t="str">
        <f>'1 - Staff Calendar View'!$A$7</f>
        <v>Wk 11</v>
      </c>
      <c r="B40" s="22">
        <f>'1 - Staff Calendar View'!G$6</f>
        <v>46213</v>
      </c>
      <c r="C40" s="20" t="str">
        <f t="shared" si="1"/>
        <v>Fri</v>
      </c>
      <c r="D40" s="20" t="str">
        <f>'1 - Staff Calendar View'!$B$16</f>
        <v/>
      </c>
      <c r="E40" s="20" t="str">
        <f>VLOOKUP(D40,'1 - Staff Calendar View'!$I$49:$J$51,2,FALSE())</f>
        <v>#N/A</v>
      </c>
      <c r="F40" s="20" t="str">
        <f>'1 - Staff Calendar View'!G$16</f>
        <v/>
      </c>
      <c r="G40" s="20" t="str">
        <f>IF('1 - Staff Calendar View'!G$18="-","-",'1 - Staff Calendar View'!G$18)</f>
        <v>All Staff</v>
      </c>
      <c r="H40" s="20" t="str">
        <f t="shared" si="2"/>
        <v>#REF!</v>
      </c>
    </row>
    <row r="41" ht="15.75" customHeight="1">
      <c r="A41" s="20" t="str">
        <f>'1 - Staff Calendar View'!$A$7</f>
        <v>Wk 11</v>
      </c>
      <c r="B41" s="22">
        <f>'1 - Staff Calendar View'!G$6</f>
        <v>46213</v>
      </c>
      <c r="C41" s="20" t="str">
        <f t="shared" si="1"/>
        <v>Fri</v>
      </c>
      <c r="D41" s="20" t="str">
        <f>'1 - Staff Calendar View'!$B$16</f>
        <v/>
      </c>
      <c r="E41" s="20" t="str">
        <f>VLOOKUP(D41,'1 - Staff Calendar View'!$I$49:$J$51,2,FALSE())</f>
        <v>#N/A</v>
      </c>
      <c r="F41" s="20" t="str">
        <f>'1 - Staff Calendar View'!G$18</f>
        <v>All Staff</v>
      </c>
      <c r="G41" s="20" t="str">
        <f>IF('1 - Staff Calendar View'!G$16="-","-",'1 - Staff Calendar View'!G$16)</f>
        <v/>
      </c>
      <c r="H41" s="20" t="str">
        <f t="shared" si="2"/>
        <v>#REF!</v>
      </c>
    </row>
    <row r="42" ht="15.75" customHeight="1">
      <c r="A42" s="20" t="str">
        <f>'1 - Staff Calendar View'!$A$22</f>
        <v>Wk 12</v>
      </c>
      <c r="B42" s="22">
        <f>'1 - Staff Calendar View'!C$21</f>
        <v>46216</v>
      </c>
      <c r="C42" s="20" t="str">
        <f t="shared" si="1"/>
        <v>Mon</v>
      </c>
      <c r="D42" s="20" t="str">
        <f>'1 - Staff Calendar View'!$B$22</f>
        <v>Clayton Drop-in</v>
      </c>
      <c r="E42" s="20" t="str">
        <f>VLOOKUP(D42,'1 - Staff Calendar View'!$I$49:$J$51,2,FALSE())</f>
        <v>#N/A</v>
      </c>
      <c r="F42" s="20" t="str">
        <f>'1 - Staff Calendar View'!C$22</f>
        <v/>
      </c>
      <c r="G42" s="20" t="str">
        <f>IF('1 - Staff Calendar View'!C$24="-","-",'1 - Staff Calendar View'!C$24)</f>
        <v/>
      </c>
      <c r="H42" s="20" t="str">
        <f t="shared" si="2"/>
        <v>#REF!</v>
      </c>
    </row>
    <row r="43" ht="15.75" customHeight="1">
      <c r="A43" s="20" t="str">
        <f>'1 - Staff Calendar View'!$A$22</f>
        <v>Wk 12</v>
      </c>
      <c r="B43" s="22">
        <f>'1 - Staff Calendar View'!C$21</f>
        <v>46216</v>
      </c>
      <c r="C43" s="20" t="str">
        <f t="shared" si="1"/>
        <v>Mon</v>
      </c>
      <c r="D43" s="20" t="str">
        <f>'1 - Staff Calendar View'!$B$22</f>
        <v>Clayton Drop-in</v>
      </c>
      <c r="E43" s="20" t="str">
        <f>VLOOKUP(D43,'1 - Staff Calendar View'!$I$49:$J$51,2,FALSE())</f>
        <v>#N/A</v>
      </c>
      <c r="F43" s="20" t="str">
        <f>'1 - Staff Calendar View'!C$24</f>
        <v/>
      </c>
      <c r="G43" s="20" t="str">
        <f>IF('1 - Staff Calendar View'!C$22="-","-",'1 - Staff Calendar View'!C$22)</f>
        <v/>
      </c>
      <c r="H43" s="20" t="str">
        <f t="shared" si="2"/>
        <v>#REF!</v>
      </c>
    </row>
    <row r="44" ht="15.75" customHeight="1">
      <c r="A44" s="20" t="str">
        <f>'1 - Staff Calendar View'!$A$22</f>
        <v>Wk 12</v>
      </c>
      <c r="B44" s="22">
        <f>'1 - Staff Calendar View'!C$21</f>
        <v>46216</v>
      </c>
      <c r="C44" s="20" t="str">
        <f t="shared" si="1"/>
        <v>Mon</v>
      </c>
      <c r="D44" s="20" t="str">
        <f>'1 - Staff Calendar View'!$B$25</f>
        <v>Caulfield Drop-in</v>
      </c>
      <c r="E44" s="20" t="str">
        <f>VLOOKUP(D44,'1 - Staff Calendar View'!$I$49:$J$51,2,FALSE())</f>
        <v>10:40AM-2:20PM</v>
      </c>
      <c r="F44" s="20" t="str">
        <f>'1 - Staff Calendar View'!C$25</f>
        <v/>
      </c>
      <c r="G44" s="20" t="str">
        <f>IF('1 - Staff Calendar View'!C$27="-","-",'1 - Staff Calendar View'!C$27)</f>
        <v/>
      </c>
      <c r="H44" s="20" t="str">
        <f t="shared" si="2"/>
        <v>#REF!</v>
      </c>
    </row>
    <row r="45" ht="15.75" customHeight="1">
      <c r="A45" s="20" t="str">
        <f>'1 - Staff Calendar View'!$A$22</f>
        <v>Wk 12</v>
      </c>
      <c r="B45" s="22">
        <f>'1 - Staff Calendar View'!C$21</f>
        <v>46216</v>
      </c>
      <c r="C45" s="20" t="str">
        <f t="shared" si="1"/>
        <v>Mon</v>
      </c>
      <c r="D45" s="20" t="str">
        <f>'1 - Staff Calendar View'!$B$25</f>
        <v>Caulfield Drop-in</v>
      </c>
      <c r="E45" s="20" t="str">
        <f>VLOOKUP(D45,'1 - Staff Calendar View'!$I$49:$J$51,2,FALSE())</f>
        <v>10:40AM-2:20PM</v>
      </c>
      <c r="F45" s="20" t="str">
        <f>'1 - Staff Calendar View'!C$27</f>
        <v/>
      </c>
      <c r="G45" s="20" t="str">
        <f>IF('1 - Staff Calendar View'!C$25="-","-",'1 - Staff Calendar View'!C$25)</f>
        <v/>
      </c>
      <c r="H45" s="20" t="str">
        <f t="shared" si="2"/>
        <v>#REF!</v>
      </c>
    </row>
    <row r="46" ht="15.75" customHeight="1">
      <c r="A46" s="20" t="str">
        <f>'1 - Staff Calendar View'!$A$22</f>
        <v>Wk 12</v>
      </c>
      <c r="B46" s="22">
        <f>'1 - Staff Calendar View'!C$21</f>
        <v>46216</v>
      </c>
      <c r="C46" s="20" t="str">
        <f t="shared" si="1"/>
        <v>Mon</v>
      </c>
      <c r="D46" s="20" t="str">
        <f>'1 - Staff Calendar View'!$B$32</f>
        <v>Webinars Support
Advanced AI: How Do AI Models Work?</v>
      </c>
      <c r="E46" s="20" t="str">
        <f>VLOOKUP(D46,'1 - Staff Calendar View'!$I$49:$J$51,2,FALSE())</f>
        <v>#N/A</v>
      </c>
      <c r="F46" s="20" t="str">
        <f>'1 - Staff Calendar View'!C$32</f>
        <v/>
      </c>
      <c r="G46" s="20" t="str">
        <f>IF('1 - Staff Calendar View'!C$33="-","-",'1 - Staff Calendar View'!C$33)</f>
        <v/>
      </c>
      <c r="H46" s="20" t="str">
        <f t="shared" si="2"/>
        <v>#REF!</v>
      </c>
    </row>
    <row r="47" ht="15.75" customHeight="1">
      <c r="A47" s="20" t="str">
        <f>'1 - Staff Calendar View'!$A$22</f>
        <v>Wk 12</v>
      </c>
      <c r="B47" s="22">
        <f>'1 - Staff Calendar View'!C$21</f>
        <v>46216</v>
      </c>
      <c r="C47" s="20" t="str">
        <f t="shared" si="1"/>
        <v>Mon</v>
      </c>
      <c r="D47" s="20" t="str">
        <f>'1 - Staff Calendar View'!$B$32</f>
        <v>Webinars Support
Advanced AI: How Do AI Models Work?</v>
      </c>
      <c r="E47" s="20" t="str">
        <f>VLOOKUP(D47,'1 - Staff Calendar View'!$I$49:$J$51,2,FALSE())</f>
        <v>#N/A</v>
      </c>
      <c r="F47" s="20" t="str">
        <f>'1 - Staff Calendar View'!C$33</f>
        <v/>
      </c>
      <c r="G47" s="20" t="str">
        <f>IF('1 - Staff Calendar View'!C$32="-","-",'1 - Staff Calendar View'!C$32)</f>
        <v/>
      </c>
      <c r="H47" s="20" t="str">
        <f t="shared" si="2"/>
        <v>#REF!</v>
      </c>
    </row>
    <row r="48" ht="15.75" customHeight="1">
      <c r="A48" s="20" t="str">
        <f>'1 - Staff Calendar View'!$A$22</f>
        <v>Wk 12</v>
      </c>
      <c r="B48" s="22">
        <f>'1 - Staff Calendar View'!C$21</f>
        <v>46216</v>
      </c>
      <c r="C48" s="20" t="str">
        <f t="shared" si="1"/>
        <v>Mon</v>
      </c>
      <c r="D48" s="20" t="str">
        <f>'1 - Staff Calendar View'!$B$34</f>
        <v>In Person Sessions</v>
      </c>
      <c r="E48" s="20" t="str">
        <f>VLOOKUP(D48,'1 - Staff Calendar View'!$I$49:$J$51,2,FALSE())</f>
        <v>#N/A</v>
      </c>
      <c r="F48" s="20" t="str">
        <f>'1 - Staff Calendar View'!C$34</f>
        <v/>
      </c>
      <c r="G48" s="20" t="str">
        <f>IF('1 - Staff Calendar View'!C$35="-","-",'1 - Staff Calendar View'!C$35)</f>
        <v/>
      </c>
      <c r="H48" s="20" t="str">
        <f t="shared" si="2"/>
        <v>#REF!</v>
      </c>
    </row>
    <row r="49" ht="15.75" customHeight="1">
      <c r="A49" s="20" t="str">
        <f>'1 - Staff Calendar View'!$A$22</f>
        <v>Wk 12</v>
      </c>
      <c r="B49" s="22">
        <f>'1 - Staff Calendar View'!C$21</f>
        <v>46216</v>
      </c>
      <c r="C49" s="20" t="str">
        <f t="shared" si="1"/>
        <v>Mon</v>
      </c>
      <c r="D49" s="20" t="str">
        <f>'1 - Staff Calendar View'!$B$34</f>
        <v>In Person Sessions</v>
      </c>
      <c r="E49" s="20" t="str">
        <f>VLOOKUP(D49,'1 - Staff Calendar View'!$I$49:$J$51,2,FALSE())</f>
        <v>#N/A</v>
      </c>
      <c r="F49" s="20" t="str">
        <f>'1 - Staff Calendar View'!C$35</f>
        <v/>
      </c>
      <c r="G49" s="20" t="str">
        <f>IF('1 - Staff Calendar View'!C$34="-","-",'1 - Staff Calendar View'!C$34)</f>
        <v/>
      </c>
      <c r="H49" s="20" t="str">
        <f t="shared" si="2"/>
        <v>#REF!</v>
      </c>
    </row>
    <row r="50" ht="15.75" customHeight="1">
      <c r="A50" s="20" t="str">
        <f>'1 - Staff Calendar View'!$A$22</f>
        <v>Wk 12</v>
      </c>
      <c r="B50" s="22">
        <f>'1 - Staff Calendar View'!D$21</f>
        <v>46217</v>
      </c>
      <c r="C50" s="20" t="str">
        <f t="shared" si="1"/>
        <v>Tue</v>
      </c>
      <c r="D50" s="20" t="str">
        <f>'1 - Staff Calendar View'!$B$22</f>
        <v>Clayton Drop-in</v>
      </c>
      <c r="E50" s="20" t="str">
        <f>VLOOKUP(D50,'1 - Staff Calendar View'!$I$49:$J$51,2,FALSE())</f>
        <v>#N/A</v>
      </c>
      <c r="F50" s="20" t="str">
        <f>'1 - Staff Calendar View'!D$22</f>
        <v>Sener</v>
      </c>
      <c r="G50" s="20" t="str">
        <f>IF('1 - Staff Calendar View'!D$24="-","-",'1 - Staff Calendar View'!D$24)</f>
        <v/>
      </c>
      <c r="H50" s="20" t="str">
        <f t="shared" si="2"/>
        <v>#REF!</v>
      </c>
    </row>
    <row r="51" ht="15.75" customHeight="1">
      <c r="A51" s="20" t="str">
        <f>'1 - Staff Calendar View'!$A$22</f>
        <v>Wk 12</v>
      </c>
      <c r="B51" s="22">
        <f>'1 - Staff Calendar View'!D$21</f>
        <v>46217</v>
      </c>
      <c r="C51" s="20" t="str">
        <f t="shared" si="1"/>
        <v>Tue</v>
      </c>
      <c r="D51" s="20" t="str">
        <f>'1 - Staff Calendar View'!$B$22</f>
        <v>Clayton Drop-in</v>
      </c>
      <c r="E51" s="20" t="str">
        <f>VLOOKUP(D51,'1 - Staff Calendar View'!$I$49:$J$51,2,FALSE())</f>
        <v>#N/A</v>
      </c>
      <c r="F51" s="20" t="str">
        <f>'1 - Staff Calendar View'!D$24</f>
        <v/>
      </c>
      <c r="G51" s="20" t="str">
        <f>IF('1 - Staff Calendar View'!D$22="-","-",'1 - Staff Calendar View'!D$22)</f>
        <v>Sener</v>
      </c>
      <c r="H51" s="20" t="str">
        <f t="shared" si="2"/>
        <v>#REF!</v>
      </c>
    </row>
    <row r="52" ht="15.75" customHeight="1">
      <c r="A52" s="20" t="str">
        <f>'1 - Staff Calendar View'!$A$22</f>
        <v>Wk 12</v>
      </c>
      <c r="B52" s="22">
        <f>'1 - Staff Calendar View'!D$21</f>
        <v>46217</v>
      </c>
      <c r="C52" s="20" t="str">
        <f t="shared" si="1"/>
        <v>Tue</v>
      </c>
      <c r="D52" s="20" t="str">
        <f>'1 - Staff Calendar View'!$B$25</f>
        <v>Caulfield Drop-in</v>
      </c>
      <c r="E52" s="20" t="str">
        <f>VLOOKUP(D52,'1 - Staff Calendar View'!$I$49:$J$51,2,FALSE())</f>
        <v>10:40AM-2:20PM</v>
      </c>
      <c r="F52" s="20" t="str">
        <f>'1 - Staff Calendar View'!D$25</f>
        <v>Hailey</v>
      </c>
      <c r="G52" s="20" t="str">
        <f>IF('1 - Staff Calendar View'!D$26="-","-",'1 - Staff Calendar View'!D$26)</f>
        <v/>
      </c>
      <c r="H52" s="20" t="str">
        <f t="shared" si="2"/>
        <v>#REF!</v>
      </c>
    </row>
    <row r="53" ht="15.75" customHeight="1">
      <c r="A53" s="20" t="str">
        <f>'1 - Staff Calendar View'!$A$22</f>
        <v>Wk 12</v>
      </c>
      <c r="B53" s="22">
        <f>'1 - Staff Calendar View'!D$21</f>
        <v>46217</v>
      </c>
      <c r="C53" s="20" t="str">
        <f t="shared" si="1"/>
        <v>Tue</v>
      </c>
      <c r="D53" s="20" t="str">
        <f>'1 - Staff Calendar View'!$B$25</f>
        <v>Caulfield Drop-in</v>
      </c>
      <c r="E53" s="20" t="str">
        <f>VLOOKUP(D53,'1 - Staff Calendar View'!$I$49:$J$51,2,FALSE())</f>
        <v>10:40AM-2:20PM</v>
      </c>
      <c r="F53" s="20" t="str">
        <f>'1 - Staff Calendar View'!D$26</f>
        <v/>
      </c>
      <c r="G53" s="20" t="str">
        <f>IF('1 - Staff Calendar View'!D$25="-","-",'1 - Staff Calendar View'!D$25)</f>
        <v>Hailey</v>
      </c>
      <c r="H53" s="20" t="str">
        <f t="shared" si="2"/>
        <v>#REF!</v>
      </c>
    </row>
    <row r="54" ht="15.75" customHeight="1">
      <c r="A54" s="20" t="str">
        <f>'1 - Staff Calendar View'!$A$22</f>
        <v>Wk 12</v>
      </c>
      <c r="B54" s="22">
        <f>'1 - Staff Calendar View'!D$21</f>
        <v>46217</v>
      </c>
      <c r="C54" s="20" t="str">
        <f t="shared" si="1"/>
        <v>Tue</v>
      </c>
      <c r="D54" s="20" t="str">
        <f>'1 - Staff Calendar View'!$B$32</f>
        <v>Webinars Support
Advanced AI: How Do AI Models Work?</v>
      </c>
      <c r="E54" s="20" t="str">
        <f>VLOOKUP(D54,'1 - Staff Calendar View'!$I$49:$J$51,2,FALSE())</f>
        <v>#N/A</v>
      </c>
      <c r="F54" s="20" t="str">
        <f>'1 - Staff Calendar View'!D$32</f>
        <v/>
      </c>
      <c r="G54" s="20" t="str">
        <f>IF('1 - Staff Calendar View'!D$33="-","-",'1 - Staff Calendar View'!D$33)</f>
        <v/>
      </c>
      <c r="H54" s="20" t="str">
        <f t="shared" si="2"/>
        <v>#REF!</v>
      </c>
    </row>
    <row r="55" ht="15.75" customHeight="1">
      <c r="A55" s="20" t="str">
        <f>'1 - Staff Calendar View'!$A$22</f>
        <v>Wk 12</v>
      </c>
      <c r="B55" s="22">
        <f>'1 - Staff Calendar View'!D$21</f>
        <v>46217</v>
      </c>
      <c r="C55" s="20" t="str">
        <f t="shared" si="1"/>
        <v>Tue</v>
      </c>
      <c r="D55" s="20" t="str">
        <f>'1 - Staff Calendar View'!$B$32</f>
        <v>Webinars Support
Advanced AI: How Do AI Models Work?</v>
      </c>
      <c r="E55" s="20" t="str">
        <f>VLOOKUP(D55,'1 - Staff Calendar View'!$I$49:$J$51,2,FALSE())</f>
        <v>#N/A</v>
      </c>
      <c r="F55" s="20" t="str">
        <f>'1 - Staff Calendar View'!D$33</f>
        <v/>
      </c>
      <c r="G55" s="20" t="str">
        <f>IF('1 - Staff Calendar View'!D$32="-","-",'1 - Staff Calendar View'!D$32)</f>
        <v/>
      </c>
      <c r="H55" s="20" t="str">
        <f t="shared" si="2"/>
        <v>#REF!</v>
      </c>
    </row>
    <row r="56" ht="15.75" customHeight="1">
      <c r="A56" s="20" t="str">
        <f>'1 - Staff Calendar View'!$A$22</f>
        <v>Wk 12</v>
      </c>
      <c r="B56" s="22">
        <f>'1 - Staff Calendar View'!D$21</f>
        <v>46217</v>
      </c>
      <c r="C56" s="20" t="str">
        <f t="shared" si="1"/>
        <v>Tue</v>
      </c>
      <c r="D56" s="20" t="str">
        <f>'1 - Staff Calendar View'!$B$34</f>
        <v>In Person Sessions</v>
      </c>
      <c r="E56" s="20" t="str">
        <f>VLOOKUP(D56,'1 - Staff Calendar View'!$I$49:$J$51,2,FALSE())</f>
        <v>#N/A</v>
      </c>
      <c r="F56" s="20" t="str">
        <f>'1 - Staff Calendar View'!D$34</f>
        <v/>
      </c>
      <c r="G56" s="20" t="str">
        <f>IF('1 - Staff Calendar View'!D$35="-","-",'1 - Staff Calendar View'!D$35)</f>
        <v/>
      </c>
      <c r="H56" s="20" t="str">
        <f t="shared" si="2"/>
        <v>#REF!</v>
      </c>
    </row>
    <row r="57" ht="15.75" customHeight="1">
      <c r="A57" s="20" t="str">
        <f>'1 - Staff Calendar View'!$A$22</f>
        <v>Wk 12</v>
      </c>
      <c r="B57" s="22">
        <f>'1 - Staff Calendar View'!D$21</f>
        <v>46217</v>
      </c>
      <c r="C57" s="20" t="str">
        <f t="shared" si="1"/>
        <v>Tue</v>
      </c>
      <c r="D57" s="20" t="str">
        <f>'1 - Staff Calendar View'!$B$34</f>
        <v>In Person Sessions</v>
      </c>
      <c r="E57" s="20" t="str">
        <f>VLOOKUP(D57,'1 - Staff Calendar View'!$I$49:$J$51,2,FALSE())</f>
        <v>#N/A</v>
      </c>
      <c r="F57" s="20" t="str">
        <f>'1 - Staff Calendar View'!D$35</f>
        <v/>
      </c>
      <c r="G57" s="20" t="str">
        <f>IF('1 - Staff Calendar View'!D$34="-","-",'1 - Staff Calendar View'!D$34)</f>
        <v/>
      </c>
      <c r="H57" s="20" t="str">
        <f t="shared" si="2"/>
        <v>#REF!</v>
      </c>
    </row>
    <row r="58" ht="15.75" customHeight="1">
      <c r="A58" s="20" t="str">
        <f>'1 - Staff Calendar View'!$A$22</f>
        <v>Wk 12</v>
      </c>
      <c r="B58" s="22">
        <f>'1 - Staff Calendar View'!E$21</f>
        <v>46218</v>
      </c>
      <c r="C58" s="20" t="str">
        <f t="shared" si="1"/>
        <v>Wed</v>
      </c>
      <c r="D58" s="20" t="str">
        <f>'1 - Staff Calendar View'!$B$22</f>
        <v>Clayton Drop-in</v>
      </c>
      <c r="E58" s="20" t="str">
        <f>VLOOKUP(D58,'1 - Staff Calendar View'!$I$49:$J$51,2,FALSE())</f>
        <v>#N/A</v>
      </c>
      <c r="F58" s="20" t="str">
        <f>'1 - Staff Calendar View'!E$22</f>
        <v>Grace</v>
      </c>
      <c r="G58" s="20" t="str">
        <f>IF('1 - Staff Calendar View'!E$24="-","-",'1 - Staff Calendar View'!E$24)</f>
        <v/>
      </c>
      <c r="H58" s="20" t="str">
        <f t="shared" si="2"/>
        <v>#REF!</v>
      </c>
    </row>
    <row r="59" ht="15.75" customHeight="1">
      <c r="A59" s="20" t="str">
        <f>'1 - Staff Calendar View'!$A$22</f>
        <v>Wk 12</v>
      </c>
      <c r="B59" s="22">
        <f>'1 - Staff Calendar View'!E$21</f>
        <v>46218</v>
      </c>
      <c r="C59" s="20" t="str">
        <f t="shared" si="1"/>
        <v>Wed</v>
      </c>
      <c r="D59" s="20" t="str">
        <f>'1 - Staff Calendar View'!$B$22</f>
        <v>Clayton Drop-in</v>
      </c>
      <c r="E59" s="20" t="str">
        <f>VLOOKUP(D59,'1 - Staff Calendar View'!$I$49:$J$51,2,FALSE())</f>
        <v>#N/A</v>
      </c>
      <c r="F59" s="20" t="str">
        <f>'1 - Staff Calendar View'!E$24</f>
        <v/>
      </c>
      <c r="G59" s="20" t="str">
        <f>IF('1 - Staff Calendar View'!E$22="-","-",'1 - Staff Calendar View'!E$22)</f>
        <v>Grace</v>
      </c>
      <c r="H59" s="20" t="str">
        <f t="shared" si="2"/>
        <v>#REF!</v>
      </c>
    </row>
    <row r="60" ht="15.75" customHeight="1">
      <c r="A60" s="20" t="str">
        <f>'1 - Staff Calendar View'!$A$22</f>
        <v>Wk 12</v>
      </c>
      <c r="B60" s="22">
        <f>'1 - Staff Calendar View'!E$21</f>
        <v>46218</v>
      </c>
      <c r="C60" s="20" t="str">
        <f t="shared" si="1"/>
        <v>Wed</v>
      </c>
      <c r="D60" s="20" t="str">
        <f>'1 - Staff Calendar View'!$B$25</f>
        <v>Caulfield Drop-in</v>
      </c>
      <c r="E60" s="20" t="str">
        <f>VLOOKUP(D60,'1 - Staff Calendar View'!$I$49:$J$51,2,FALSE())</f>
        <v>10:40AM-2:20PM</v>
      </c>
      <c r="F60" s="20" t="str">
        <f>'1 - Staff Calendar View'!E$25</f>
        <v>Omila</v>
      </c>
      <c r="G60" s="20" t="str">
        <f>IF('1 - Staff Calendar View'!E$27="-","-",'1 - Staff Calendar View'!E$27)</f>
        <v>Jaemin</v>
      </c>
      <c r="H60" s="20" t="str">
        <f t="shared" si="2"/>
        <v>#REF!</v>
      </c>
    </row>
    <row r="61" ht="15.75" customHeight="1">
      <c r="A61" s="20" t="str">
        <f>'1 - Staff Calendar View'!$A$22</f>
        <v>Wk 12</v>
      </c>
      <c r="B61" s="22">
        <f>'1 - Staff Calendar View'!E$21</f>
        <v>46218</v>
      </c>
      <c r="C61" s="20" t="str">
        <f t="shared" si="1"/>
        <v>Wed</v>
      </c>
      <c r="D61" s="20" t="str">
        <f>'1 - Staff Calendar View'!$B$25</f>
        <v>Caulfield Drop-in</v>
      </c>
      <c r="E61" s="20" t="str">
        <f>VLOOKUP(D61,'1 - Staff Calendar View'!$I$49:$J$51,2,FALSE())</f>
        <v>10:40AM-2:20PM</v>
      </c>
      <c r="F61" s="20" t="str">
        <f>'1 - Staff Calendar View'!E$27</f>
        <v>Jaemin</v>
      </c>
      <c r="G61" s="20" t="str">
        <f>IF('1 - Staff Calendar View'!E$25="-","-",'1 - Staff Calendar View'!E$25)</f>
        <v>Omila</v>
      </c>
      <c r="H61" s="20" t="str">
        <f t="shared" si="2"/>
        <v>#REF!</v>
      </c>
    </row>
    <row r="62" ht="15.75" customHeight="1">
      <c r="A62" s="20" t="str">
        <f>'1 - Staff Calendar View'!$A$22</f>
        <v>Wk 12</v>
      </c>
      <c r="B62" s="22">
        <f>'1 - Staff Calendar View'!E$21</f>
        <v>46218</v>
      </c>
      <c r="C62" s="20" t="str">
        <f t="shared" si="1"/>
        <v>Wed</v>
      </c>
      <c r="D62" s="20" t="str">
        <f>'1 - Staff Calendar View'!$B$32</f>
        <v>Webinars Support
Advanced AI: How Do AI Models Work?</v>
      </c>
      <c r="E62" s="20" t="str">
        <f>VLOOKUP(D62,'1 - Staff Calendar View'!$I$49:$J$51,2,FALSE())</f>
        <v>#N/A</v>
      </c>
      <c r="F62" s="20" t="str">
        <f>'1 - Staff Calendar View'!E$31</f>
        <v>Cass </v>
      </c>
      <c r="G62" s="20" t="str">
        <f>IF('1 - Staff Calendar View'!E$33="-","-",'1 - Staff Calendar View'!E$33)</f>
        <v/>
      </c>
      <c r="H62" s="20" t="str">
        <f t="shared" si="2"/>
        <v>#REF!</v>
      </c>
    </row>
    <row r="63" ht="15.75" customHeight="1">
      <c r="A63" s="20" t="str">
        <f>'1 - Staff Calendar View'!$A$22</f>
        <v>Wk 12</v>
      </c>
      <c r="B63" s="22">
        <f>'1 - Staff Calendar View'!E$21</f>
        <v>46218</v>
      </c>
      <c r="C63" s="20" t="str">
        <f t="shared" si="1"/>
        <v>Wed</v>
      </c>
      <c r="D63" s="20" t="str">
        <f>'1 - Staff Calendar View'!$B$32</f>
        <v>Webinars Support
Advanced AI: How Do AI Models Work?</v>
      </c>
      <c r="E63" s="20" t="str">
        <f>VLOOKUP(D63,'1 - Staff Calendar View'!$I$49:$J$51,2,FALSE())</f>
        <v>#N/A</v>
      </c>
      <c r="F63" s="20" t="str">
        <f>'1 - Staff Calendar View'!E$33</f>
        <v/>
      </c>
      <c r="G63" s="20" t="str">
        <f>IF('1 - Staff Calendar View'!E$31="-","-",'1 - Staff Calendar View'!E$31)</f>
        <v>Cass </v>
      </c>
      <c r="H63" s="20" t="str">
        <f t="shared" si="2"/>
        <v>#REF!</v>
      </c>
    </row>
    <row r="64" ht="15.75" customHeight="1">
      <c r="A64" s="20" t="str">
        <f>'1 - Staff Calendar View'!$A$22</f>
        <v>Wk 12</v>
      </c>
      <c r="B64" s="22">
        <f>'1 - Staff Calendar View'!E$21</f>
        <v>46218</v>
      </c>
      <c r="C64" s="20" t="str">
        <f t="shared" si="1"/>
        <v>Wed</v>
      </c>
      <c r="D64" s="20" t="str">
        <f>'1 - Staff Calendar View'!$B$34</f>
        <v>In Person Sessions</v>
      </c>
      <c r="E64" s="20" t="str">
        <f>VLOOKUP(D64,'1 - Staff Calendar View'!$I$49:$J$51,2,FALSE())</f>
        <v>#N/A</v>
      </c>
      <c r="F64" s="20" t="str">
        <f>'1 - Staff Calendar View'!E$34</f>
        <v/>
      </c>
      <c r="G64" s="20" t="str">
        <f>IF('1 - Staff Calendar View'!E$35="-","-",'1 - Staff Calendar View'!E$35)</f>
        <v/>
      </c>
      <c r="H64" s="20" t="str">
        <f t="shared" si="2"/>
        <v>#REF!</v>
      </c>
    </row>
    <row r="65" ht="15.75" customHeight="1">
      <c r="A65" s="20" t="str">
        <f>'1 - Staff Calendar View'!$A$22</f>
        <v>Wk 12</v>
      </c>
      <c r="B65" s="22">
        <f>'1 - Staff Calendar View'!E$21</f>
        <v>46218</v>
      </c>
      <c r="C65" s="20" t="str">
        <f t="shared" si="1"/>
        <v>Wed</v>
      </c>
      <c r="D65" s="20" t="str">
        <f>'1 - Staff Calendar View'!$B$34</f>
        <v>In Person Sessions</v>
      </c>
      <c r="E65" s="20" t="str">
        <f>VLOOKUP(D65,'1 - Staff Calendar View'!$I$49:$J$51,2,FALSE())</f>
        <v>#N/A</v>
      </c>
      <c r="F65" s="20" t="str">
        <f>'1 - Staff Calendar View'!E$35</f>
        <v/>
      </c>
      <c r="G65" s="20" t="str">
        <f>IF('1 - Staff Calendar View'!E$34="-","-",'1 - Staff Calendar View'!E$34)</f>
        <v/>
      </c>
      <c r="H65" s="20" t="str">
        <f t="shared" si="2"/>
        <v>#REF!</v>
      </c>
    </row>
    <row r="66" ht="15.75" customHeight="1">
      <c r="A66" s="20" t="str">
        <f>'1 - Staff Calendar View'!$A$22</f>
        <v>Wk 12</v>
      </c>
      <c r="B66" s="22">
        <f>'1 - Staff Calendar View'!F$21</f>
        <v>46219</v>
      </c>
      <c r="C66" s="20" t="str">
        <f t="shared" si="1"/>
        <v>Thu</v>
      </c>
      <c r="D66" s="20" t="str">
        <f>'1 - Staff Calendar View'!$B$22</f>
        <v>Clayton Drop-in</v>
      </c>
      <c r="E66" s="20" t="str">
        <f>VLOOKUP(D66,'1 - Staff Calendar View'!$I$49:$J$51,2,FALSE())</f>
        <v>#N/A</v>
      </c>
      <c r="F66" s="20" t="str">
        <f>'1 - Staff Calendar View'!F$22</f>
        <v>Grace</v>
      </c>
      <c r="G66" s="20" t="str">
        <f>IF('1 - Staff Calendar View'!F$24="-","-",'1 - Staff Calendar View'!F$24)</f>
        <v>Hailey</v>
      </c>
      <c r="H66" s="20" t="str">
        <f t="shared" si="2"/>
        <v>#REF!</v>
      </c>
    </row>
    <row r="67" ht="15.75" customHeight="1">
      <c r="A67" s="20" t="str">
        <f>'1 - Staff Calendar View'!$A$22</f>
        <v>Wk 12</v>
      </c>
      <c r="B67" s="22">
        <f>'1 - Staff Calendar View'!F$21</f>
        <v>46219</v>
      </c>
      <c r="C67" s="20" t="str">
        <f t="shared" si="1"/>
        <v>Thu</v>
      </c>
      <c r="D67" s="20" t="str">
        <f>'1 - Staff Calendar View'!$B$22</f>
        <v>Clayton Drop-in</v>
      </c>
      <c r="E67" s="20" t="str">
        <f>VLOOKUP(D67,'1 - Staff Calendar View'!$I$49:$J$51,2,FALSE())</f>
        <v>#N/A</v>
      </c>
      <c r="F67" s="20" t="str">
        <f>'1 - Staff Calendar View'!F$24</f>
        <v>Hailey</v>
      </c>
      <c r="G67" s="20" t="str">
        <f>IF('1 - Staff Calendar View'!F$22="-","-",'1 - Staff Calendar View'!F$22)</f>
        <v>Grace</v>
      </c>
      <c r="H67" s="20" t="str">
        <f t="shared" si="2"/>
        <v>#REF!</v>
      </c>
    </row>
    <row r="68" ht="15.75" customHeight="1">
      <c r="A68" s="20" t="str">
        <f>'1 - Staff Calendar View'!$A$22</f>
        <v>Wk 12</v>
      </c>
      <c r="B68" s="22">
        <f>'1 - Staff Calendar View'!F$21</f>
        <v>46219</v>
      </c>
      <c r="C68" s="20" t="str">
        <f t="shared" si="1"/>
        <v>Thu</v>
      </c>
      <c r="D68" s="20" t="str">
        <f>'1 - Staff Calendar View'!$B$25</f>
        <v>Caulfield Drop-in</v>
      </c>
      <c r="E68" s="20" t="str">
        <f>VLOOKUP(D68,'1 - Staff Calendar View'!$I$49:$J$51,2,FALSE())</f>
        <v>10:40AM-2:20PM</v>
      </c>
      <c r="F68" s="20" t="str">
        <f>'1 - Staff Calendar View'!F$25</f>
        <v>Omila</v>
      </c>
      <c r="G68" s="20" t="str">
        <f>IF('1 - Staff Calendar View'!F$27="-","-",'1 - Staff Calendar View'!F$27)</f>
        <v>Cass</v>
      </c>
      <c r="H68" s="20" t="str">
        <f t="shared" si="2"/>
        <v>#REF!</v>
      </c>
    </row>
    <row r="69" ht="15.75" customHeight="1">
      <c r="A69" s="20" t="str">
        <f>'1 - Staff Calendar View'!$A$22</f>
        <v>Wk 12</v>
      </c>
      <c r="B69" s="22">
        <f>'1 - Staff Calendar View'!F$21</f>
        <v>46219</v>
      </c>
      <c r="C69" s="20" t="str">
        <f t="shared" si="1"/>
        <v>Thu</v>
      </c>
      <c r="D69" s="20" t="str">
        <f>'1 - Staff Calendar View'!$B$25</f>
        <v>Caulfield Drop-in</v>
      </c>
      <c r="E69" s="20" t="str">
        <f>VLOOKUP(D69,'1 - Staff Calendar View'!$I$49:$J$51,2,FALSE())</f>
        <v>10:40AM-2:20PM</v>
      </c>
      <c r="F69" s="20" t="str">
        <f>'1 - Staff Calendar View'!F$27</f>
        <v>Cass</v>
      </c>
      <c r="G69" s="20" t="str">
        <f>IF('1 - Staff Calendar View'!F$25="-","-",'1 - Staff Calendar View'!F$25)</f>
        <v>Omila</v>
      </c>
      <c r="H69" s="20" t="str">
        <f t="shared" si="2"/>
        <v>#REF!</v>
      </c>
    </row>
    <row r="70" ht="15.75" customHeight="1">
      <c r="A70" s="20" t="str">
        <f>'1 - Staff Calendar View'!$A$22</f>
        <v>Wk 12</v>
      </c>
      <c r="B70" s="22">
        <f>'1 - Staff Calendar View'!F$21</f>
        <v>46219</v>
      </c>
      <c r="C70" s="20" t="str">
        <f t="shared" si="1"/>
        <v>Thu</v>
      </c>
      <c r="D70" s="20" t="str">
        <f>'1 - Staff Calendar View'!$B$32</f>
        <v>Webinars Support
Advanced AI: How Do AI Models Work?</v>
      </c>
      <c r="E70" s="20" t="str">
        <f>VLOOKUP(D70,'1 - Staff Calendar View'!$I$49:$J$51,2,FALSE())</f>
        <v>#N/A</v>
      </c>
      <c r="F70" s="20" t="str">
        <f>'1 - Staff Calendar View'!F$32</f>
        <v/>
      </c>
      <c r="G70" s="20" t="str">
        <f>IF('1 - Staff Calendar View'!F$33="-","-",'1 - Staff Calendar View'!F$33)</f>
        <v/>
      </c>
      <c r="H70" s="20" t="str">
        <f t="shared" si="2"/>
        <v>#REF!</v>
      </c>
    </row>
    <row r="71" ht="15.75" customHeight="1">
      <c r="A71" s="20" t="str">
        <f>'1 - Staff Calendar View'!$A$22</f>
        <v>Wk 12</v>
      </c>
      <c r="B71" s="22">
        <f>'1 - Staff Calendar View'!F$21</f>
        <v>46219</v>
      </c>
      <c r="C71" s="20" t="str">
        <f t="shared" si="1"/>
        <v>Thu</v>
      </c>
      <c r="D71" s="20" t="str">
        <f>'1 - Staff Calendar View'!$B$32</f>
        <v>Webinars Support
Advanced AI: How Do AI Models Work?</v>
      </c>
      <c r="E71" s="20" t="str">
        <f>VLOOKUP(D71,'1 - Staff Calendar View'!$I$49:$J$51,2,FALSE())</f>
        <v>#N/A</v>
      </c>
      <c r="F71" s="20" t="str">
        <f>'1 - Staff Calendar View'!F$33</f>
        <v/>
      </c>
      <c r="G71" s="20" t="str">
        <f>IF('1 - Staff Calendar View'!F$32="-","-",'1 - Staff Calendar View'!F$32)</f>
        <v/>
      </c>
      <c r="H71" s="20" t="str">
        <f t="shared" si="2"/>
        <v>#REF!</v>
      </c>
    </row>
    <row r="72" ht="15.75" customHeight="1">
      <c r="A72" s="20" t="str">
        <f>'1 - Staff Calendar View'!$A$22</f>
        <v>Wk 12</v>
      </c>
      <c r="B72" s="22">
        <f>'1 - Staff Calendar View'!F$21</f>
        <v>46219</v>
      </c>
      <c r="C72" s="20" t="str">
        <f t="shared" si="1"/>
        <v>Thu</v>
      </c>
      <c r="D72" s="20" t="str">
        <f>'1 - Staff Calendar View'!$B$34</f>
        <v>In Person Sessions</v>
      </c>
      <c r="E72" s="20" t="str">
        <f>VLOOKUP(D72,'1 - Staff Calendar View'!$I$49:$J$51,2,FALSE())</f>
        <v>#N/A</v>
      </c>
      <c r="F72" s="20" t="str">
        <f>'1 - Staff Calendar View'!F$34</f>
        <v/>
      </c>
      <c r="G72" s="20" t="str">
        <f>IF('1 - Staff Calendar View'!F$35="-","-",'1 - Staff Calendar View'!F$35)</f>
        <v/>
      </c>
      <c r="H72" s="20" t="str">
        <f t="shared" si="2"/>
        <v>#REF!</v>
      </c>
    </row>
    <row r="73" ht="15.75" customHeight="1">
      <c r="A73" s="20" t="str">
        <f>'1 - Staff Calendar View'!$A$22</f>
        <v>Wk 12</v>
      </c>
      <c r="B73" s="22">
        <f>'1 - Staff Calendar View'!F$21</f>
        <v>46219</v>
      </c>
      <c r="C73" s="20" t="str">
        <f t="shared" si="1"/>
        <v>Thu</v>
      </c>
      <c r="D73" s="20" t="str">
        <f>'1 - Staff Calendar View'!$B$34</f>
        <v>In Person Sessions</v>
      </c>
      <c r="E73" s="20" t="str">
        <f>VLOOKUP(D73,'1 - Staff Calendar View'!$I$49:$J$51,2,FALSE())</f>
        <v>#N/A</v>
      </c>
      <c r="F73" s="20" t="str">
        <f>'1 - Staff Calendar View'!F$35</f>
        <v/>
      </c>
      <c r="G73" s="20" t="str">
        <f>IF('1 - Staff Calendar View'!F$34="-","-",'1 - Staff Calendar View'!F$34)</f>
        <v/>
      </c>
      <c r="H73" s="20" t="str">
        <f t="shared" si="2"/>
        <v>#REF!</v>
      </c>
    </row>
    <row r="74" ht="15.75" customHeight="1">
      <c r="A74" s="20" t="str">
        <f>'1 - Staff Calendar View'!$A$22</f>
        <v>Wk 12</v>
      </c>
      <c r="B74" s="22">
        <f>'1 - Staff Calendar View'!G$21</f>
        <v>46220</v>
      </c>
      <c r="C74" s="20" t="str">
        <f t="shared" si="1"/>
        <v>Fri</v>
      </c>
      <c r="D74" s="20" t="str">
        <f>'1 - Staff Calendar View'!$B$22</f>
        <v>Clayton Drop-in</v>
      </c>
      <c r="E74" s="20" t="str">
        <f>VLOOKUP(D74,'1 - Staff Calendar View'!$I$49:$J$51,2,FALSE())</f>
        <v>#N/A</v>
      </c>
      <c r="F74" s="20" t="str">
        <f>'1 - Staff Calendar View'!G$22</f>
        <v/>
      </c>
      <c r="G74" s="20" t="str">
        <f>IF('1 - Staff Calendar View'!G$24="-","-",'1 - Staff Calendar View'!G$24)</f>
        <v/>
      </c>
      <c r="H74" s="20" t="str">
        <f t="shared" si="2"/>
        <v>#REF!</v>
      </c>
    </row>
    <row r="75" ht="15.75" customHeight="1">
      <c r="A75" s="20" t="str">
        <f>'1 - Staff Calendar View'!$A$22</f>
        <v>Wk 12</v>
      </c>
      <c r="B75" s="22">
        <f>'1 - Staff Calendar View'!G$21</f>
        <v>46220</v>
      </c>
      <c r="C75" s="20" t="str">
        <f t="shared" si="1"/>
        <v>Fri</v>
      </c>
      <c r="D75" s="20" t="str">
        <f>'1 - Staff Calendar View'!$B$22</f>
        <v>Clayton Drop-in</v>
      </c>
      <c r="E75" s="20" t="str">
        <f>VLOOKUP(D75,'1 - Staff Calendar View'!$I$49:$J$51,2,FALSE())</f>
        <v>#N/A</v>
      </c>
      <c r="F75" s="20" t="str">
        <f>'1 - Staff Calendar View'!G$24</f>
        <v/>
      </c>
      <c r="G75" s="20" t="str">
        <f>IF('1 - Staff Calendar View'!G$22="-","-",'1 - Staff Calendar View'!G$22)</f>
        <v/>
      </c>
      <c r="H75" s="20" t="str">
        <f t="shared" si="2"/>
        <v>#REF!</v>
      </c>
    </row>
    <row r="76" ht="15.75" customHeight="1">
      <c r="A76" s="20" t="str">
        <f>'1 - Staff Calendar View'!$A$22</f>
        <v>Wk 12</v>
      </c>
      <c r="B76" s="22">
        <f>'1 - Staff Calendar View'!G$21</f>
        <v>46220</v>
      </c>
      <c r="C76" s="20" t="str">
        <f t="shared" si="1"/>
        <v>Fri</v>
      </c>
      <c r="D76" s="20" t="str">
        <f>'1 - Staff Calendar View'!$B$25</f>
        <v>Caulfield Drop-in</v>
      </c>
      <c r="E76" s="20" t="str">
        <f>VLOOKUP(D76,'1 - Staff Calendar View'!$I$49:$J$51,2,FALSE())</f>
        <v>10:40AM-2:20PM</v>
      </c>
      <c r="F76" s="20" t="str">
        <f>'1 - Staff Calendar View'!G$25</f>
        <v/>
      </c>
      <c r="G76" s="20" t="str">
        <f>IF('1 - Staff Calendar View'!G$27="-","-",'1 - Staff Calendar View'!G$27)</f>
        <v/>
      </c>
      <c r="H76" s="20" t="str">
        <f t="shared" si="2"/>
        <v>#REF!</v>
      </c>
    </row>
    <row r="77" ht="15.75" customHeight="1">
      <c r="A77" s="20" t="str">
        <f>'1 - Staff Calendar View'!$A$22</f>
        <v>Wk 12</v>
      </c>
      <c r="B77" s="22">
        <f>'1 - Staff Calendar View'!G$21</f>
        <v>46220</v>
      </c>
      <c r="C77" s="20" t="str">
        <f t="shared" si="1"/>
        <v>Fri</v>
      </c>
      <c r="D77" s="20" t="str">
        <f>'1 - Staff Calendar View'!$B$25</f>
        <v>Caulfield Drop-in</v>
      </c>
      <c r="E77" s="20" t="str">
        <f>VLOOKUP(D77,'1 - Staff Calendar View'!$I$49:$J$51,2,FALSE())</f>
        <v>10:40AM-2:20PM</v>
      </c>
      <c r="F77" s="20" t="str">
        <f>'1 - Staff Calendar View'!G$27</f>
        <v/>
      </c>
      <c r="G77" s="20" t="str">
        <f>IF('1 - Staff Calendar View'!G$25="-","-",'1 - Staff Calendar View'!G$25)</f>
        <v/>
      </c>
      <c r="H77" s="20" t="str">
        <f t="shared" si="2"/>
        <v>#REF!</v>
      </c>
    </row>
    <row r="78" ht="15.75" customHeight="1">
      <c r="A78" s="20" t="str">
        <f>'1 - Staff Calendar View'!$A$22</f>
        <v>Wk 12</v>
      </c>
      <c r="B78" s="22">
        <f>'1 - Staff Calendar View'!G$21</f>
        <v>46220</v>
      </c>
      <c r="C78" s="20" t="str">
        <f t="shared" si="1"/>
        <v>Fri</v>
      </c>
      <c r="D78" s="20" t="str">
        <f>'1 - Staff Calendar View'!$B$32</f>
        <v>Webinars Support
Advanced AI: How Do AI Models Work?</v>
      </c>
      <c r="E78" s="20" t="str">
        <f>VLOOKUP(D78,'1 - Staff Calendar View'!$I$49:$J$51,2,FALSE())</f>
        <v>#N/A</v>
      </c>
      <c r="F78" s="20" t="str">
        <f>'1 - Staff Calendar View'!G$32</f>
        <v/>
      </c>
      <c r="G78" s="20" t="str">
        <f>IF('1 - Staff Calendar View'!G$33="-","-",'1 - Staff Calendar View'!G$33)</f>
        <v/>
      </c>
      <c r="H78" s="20" t="str">
        <f t="shared" si="2"/>
        <v>#REF!</v>
      </c>
    </row>
    <row r="79" ht="15.75" customHeight="1">
      <c r="A79" s="20" t="str">
        <f>'1 - Staff Calendar View'!$A$22</f>
        <v>Wk 12</v>
      </c>
      <c r="B79" s="22">
        <f>'1 - Staff Calendar View'!G$21</f>
        <v>46220</v>
      </c>
      <c r="C79" s="20" t="str">
        <f t="shared" si="1"/>
        <v>Fri</v>
      </c>
      <c r="D79" s="20" t="str">
        <f>'1 - Staff Calendar View'!$B$32</f>
        <v>Webinars Support
Advanced AI: How Do AI Models Work?</v>
      </c>
      <c r="E79" s="20" t="str">
        <f>VLOOKUP(D79,'1 - Staff Calendar View'!$I$49:$J$51,2,FALSE())</f>
        <v>#N/A</v>
      </c>
      <c r="F79" s="20" t="str">
        <f>'1 - Staff Calendar View'!G$33</f>
        <v/>
      </c>
      <c r="G79" s="20" t="str">
        <f>IF('1 - Staff Calendar View'!G$32="-","-",'1 - Staff Calendar View'!G$32)</f>
        <v/>
      </c>
      <c r="H79" s="20" t="str">
        <f t="shared" si="2"/>
        <v>#REF!</v>
      </c>
    </row>
    <row r="80" ht="15.75" customHeight="1">
      <c r="A80" s="20" t="str">
        <f>'1 - Staff Calendar View'!$A$22</f>
        <v>Wk 12</v>
      </c>
      <c r="B80" s="22">
        <f>'1 - Staff Calendar View'!G$21</f>
        <v>46220</v>
      </c>
      <c r="C80" s="20" t="str">
        <f t="shared" si="1"/>
        <v>Fri</v>
      </c>
      <c r="D80" s="20" t="str">
        <f>'1 - Staff Calendar View'!$B$34</f>
        <v>In Person Sessions</v>
      </c>
      <c r="E80" s="20" t="str">
        <f>VLOOKUP(D80,'1 - Staff Calendar View'!$I$49:$J$51,2,FALSE())</f>
        <v>#N/A</v>
      </c>
      <c r="F80" s="20" t="str">
        <f>'1 - Staff Calendar View'!G$34</f>
        <v/>
      </c>
      <c r="G80" s="20" t="str">
        <f>IF('1 - Staff Calendar View'!G$35="-","-",'1 - Staff Calendar View'!G$35)</f>
        <v/>
      </c>
      <c r="H80" s="20" t="str">
        <f t="shared" si="2"/>
        <v>#REF!</v>
      </c>
    </row>
    <row r="81" ht="15.75" customHeight="1">
      <c r="A81" s="20" t="str">
        <f>'1 - Staff Calendar View'!$A$22</f>
        <v>Wk 12</v>
      </c>
      <c r="B81" s="22">
        <f>'1 - Staff Calendar View'!G$21</f>
        <v>46220</v>
      </c>
      <c r="C81" s="20" t="str">
        <f t="shared" si="1"/>
        <v>Fri</v>
      </c>
      <c r="D81" s="20" t="str">
        <f>'1 - Staff Calendar View'!$B$34</f>
        <v>In Person Sessions</v>
      </c>
      <c r="E81" s="20" t="str">
        <f>VLOOKUP(D81,'1 - Staff Calendar View'!$I$49:$J$51,2,FALSE())</f>
        <v>#N/A</v>
      </c>
      <c r="F81" s="20" t="str">
        <f>'1 - Staff Calendar View'!G$35</f>
        <v/>
      </c>
      <c r="G81" s="20" t="str">
        <f>IF('1 - Staff Calendar View'!G$34="-","-",'1 - Staff Calendar View'!G$34)</f>
        <v/>
      </c>
      <c r="H81" s="20" t="str">
        <f t="shared" si="2"/>
        <v>#REF!</v>
      </c>
    </row>
    <row r="82" ht="15.75" customHeight="1">
      <c r="A82" s="20" t="str">
        <f>'1 - Staff Calendar View'!$A$39</f>
        <v>Wk 13</v>
      </c>
      <c r="B82" s="22">
        <f>'1 - Staff Calendar View'!C$38</f>
        <v>46223</v>
      </c>
      <c r="C82" s="20" t="str">
        <f t="shared" si="1"/>
        <v>Mon</v>
      </c>
      <c r="D82" s="20" t="str">
        <f>'1 - Staff Calendar View'!$B$39</f>
        <v>Clayton Drop-in</v>
      </c>
      <c r="E82" s="20" t="str">
        <f>VLOOKUP(D82,'1 - Staff Calendar View'!$I$49:$J$51,2,FALSE())</f>
        <v>#N/A</v>
      </c>
      <c r="F82" s="20" t="str">
        <f>'1 - Staff Calendar View'!C$39</f>
        <v/>
      </c>
      <c r="G82" s="20" t="str">
        <f>IF('1 - Staff Calendar View'!C$41="-","-",'1 - Staff Calendar View'!C$41)</f>
        <v/>
      </c>
      <c r="H82" s="20" t="str">
        <f t="shared" si="2"/>
        <v>#REF!</v>
      </c>
    </row>
    <row r="83" ht="15.75" customHeight="1">
      <c r="A83" s="20" t="str">
        <f>'1 - Staff Calendar View'!$A$39</f>
        <v>Wk 13</v>
      </c>
      <c r="B83" s="22">
        <f>'1 - Staff Calendar View'!C$38</f>
        <v>46223</v>
      </c>
      <c r="C83" s="20" t="str">
        <f t="shared" si="1"/>
        <v>Mon</v>
      </c>
      <c r="D83" s="20" t="str">
        <f>'1 - Staff Calendar View'!$B$39</f>
        <v>Clayton Drop-in</v>
      </c>
      <c r="E83" s="20" t="str">
        <f>VLOOKUP(D83,'1 - Staff Calendar View'!$I$49:$J$51,2,FALSE())</f>
        <v>#N/A</v>
      </c>
      <c r="F83" s="20" t="str">
        <f>'1 - Staff Calendar View'!C$41</f>
        <v/>
      </c>
      <c r="G83" s="20" t="str">
        <f>IF('1 - Staff Calendar View'!C$39="-","-",'1 - Staff Calendar View'!C$39)</f>
        <v/>
      </c>
      <c r="H83" s="20" t="str">
        <f t="shared" si="2"/>
        <v>#REF!</v>
      </c>
    </row>
    <row r="84" ht="15.75" customHeight="1">
      <c r="A84" s="20" t="str">
        <f>'1 - Staff Calendar View'!$A$39</f>
        <v>Wk 13</v>
      </c>
      <c r="B84" s="22">
        <f>'1 - Staff Calendar View'!C$38</f>
        <v>46223</v>
      </c>
      <c r="C84" s="20" t="str">
        <f t="shared" si="1"/>
        <v>Mon</v>
      </c>
      <c r="D84" s="20" t="str">
        <f>'1 - Staff Calendar View'!$B$43</f>
        <v/>
      </c>
      <c r="E84" s="20" t="str">
        <f>VLOOKUP(D84,'1 - Staff Calendar View'!$I$49:$J$51,2,FALSE())</f>
        <v>#N/A</v>
      </c>
      <c r="F84" s="20" t="str">
        <f>'1 - Staff Calendar View'!C$43</f>
        <v/>
      </c>
      <c r="G84" s="20" t="str">
        <f>IF('1 - Staff Calendar View'!C$45="-","-",'1 - Staff Calendar View'!C$45)</f>
        <v/>
      </c>
      <c r="H84" s="20" t="str">
        <f t="shared" si="2"/>
        <v>#REF!</v>
      </c>
    </row>
    <row r="85" ht="15.75" customHeight="1">
      <c r="A85" s="20" t="str">
        <f>'1 - Staff Calendar View'!$A$39</f>
        <v>Wk 13</v>
      </c>
      <c r="B85" s="22">
        <f>'1 - Staff Calendar View'!C$38</f>
        <v>46223</v>
      </c>
      <c r="C85" s="20" t="str">
        <f t="shared" si="1"/>
        <v>Mon</v>
      </c>
      <c r="D85" s="20" t="str">
        <f>'1 - Staff Calendar View'!$B$43</f>
        <v/>
      </c>
      <c r="E85" s="20" t="str">
        <f>VLOOKUP(D85,'1 - Staff Calendar View'!$I$49:$J$51,2,FALSE())</f>
        <v>#N/A</v>
      </c>
      <c r="F85" s="20" t="str">
        <f>'1 - Staff Calendar View'!C$45</f>
        <v/>
      </c>
      <c r="G85" s="20" t="str">
        <f>IF('1 - Staff Calendar View'!C$43="-","-",'1 - Staff Calendar View'!C$43)</f>
        <v/>
      </c>
      <c r="H85" s="20" t="str">
        <f t="shared" si="2"/>
        <v>#REF!</v>
      </c>
    </row>
    <row r="86" ht="15.75" customHeight="1">
      <c r="A86" s="20" t="str">
        <f>'1 - Staff Calendar View'!$A$39</f>
        <v>Wk 13</v>
      </c>
      <c r="B86" s="22">
        <f>'1 - Staff Calendar View'!C$38</f>
        <v>46223</v>
      </c>
      <c r="C86" s="20" t="str">
        <f t="shared" si="1"/>
        <v>Mon</v>
      </c>
      <c r="D86" s="20" t="str">
        <f t="shared" ref="D86:D87" si="3">#REF!</f>
        <v>#REF!</v>
      </c>
      <c r="E86" s="20" t="str">
        <f>VLOOKUP(D86,'1 - Staff Calendar View'!$I$49:$J$51,2,FALSE())</f>
        <v>#REF!</v>
      </c>
      <c r="F86" s="20" t="str">
        <f t="shared" ref="F86:F87" si="4">#REF!</f>
        <v>#REF!</v>
      </c>
      <c r="G86" s="20" t="str">
        <f t="shared" ref="G86:G87" si="5">IF(#REF!="-","-",#REF!)</f>
        <v>#REF!</v>
      </c>
      <c r="H86" s="20" t="str">
        <f t="shared" si="2"/>
        <v>#REF!</v>
      </c>
    </row>
    <row r="87" ht="15.75" customHeight="1">
      <c r="A87" s="20" t="str">
        <f>'1 - Staff Calendar View'!$A$39</f>
        <v>Wk 13</v>
      </c>
      <c r="B87" s="22">
        <f>'1 - Staff Calendar View'!C$38</f>
        <v>46223</v>
      </c>
      <c r="C87" s="20" t="str">
        <f t="shared" si="1"/>
        <v>Mon</v>
      </c>
      <c r="D87" s="20" t="str">
        <f t="shared" si="3"/>
        <v>#REF!</v>
      </c>
      <c r="E87" s="20" t="str">
        <f>VLOOKUP(D87,'1 - Staff Calendar View'!$I$49:$J$51,2,FALSE())</f>
        <v>#REF!</v>
      </c>
      <c r="F87" s="20" t="str">
        <f t="shared" si="4"/>
        <v>#REF!</v>
      </c>
      <c r="G87" s="20" t="str">
        <f t="shared" si="5"/>
        <v>#REF!</v>
      </c>
      <c r="H87" s="20" t="str">
        <f t="shared" si="2"/>
        <v>#REF!</v>
      </c>
    </row>
    <row r="88" ht="15.75" customHeight="1">
      <c r="A88" s="20" t="str">
        <f>'1 - Staff Calendar View'!$A$39</f>
        <v>Wk 13</v>
      </c>
      <c r="B88" s="22">
        <f>'1 - Staff Calendar View'!C$38</f>
        <v>46223</v>
      </c>
      <c r="C88" s="20" t="str">
        <f t="shared" si="1"/>
        <v>Mon</v>
      </c>
      <c r="D88" s="20" t="str">
        <f t="shared" ref="D88:D89" si="6">#REF!</f>
        <v>#REF!</v>
      </c>
      <c r="E88" s="20" t="str">
        <f>VLOOKUP(D88,'1 - Staff Calendar View'!$I$49:$J$51,2,FALSE())</f>
        <v>#REF!</v>
      </c>
      <c r="F88" s="20" t="str">
        <f t="shared" ref="F88:F89" si="7">#REF!</f>
        <v>#REF!</v>
      </c>
      <c r="G88" s="20" t="str">
        <f t="shared" ref="G88:G89" si="8">IF(#REF!="-","-",#REF!)</f>
        <v>#REF!</v>
      </c>
      <c r="H88" s="20" t="str">
        <f t="shared" si="2"/>
        <v>#REF!</v>
      </c>
    </row>
    <row r="89" ht="15.75" customHeight="1">
      <c r="A89" s="20" t="str">
        <f>'1 - Staff Calendar View'!$A$39</f>
        <v>Wk 13</v>
      </c>
      <c r="B89" s="22">
        <f>'1 - Staff Calendar View'!C$38</f>
        <v>46223</v>
      </c>
      <c r="C89" s="20" t="str">
        <f t="shared" si="1"/>
        <v>Mon</v>
      </c>
      <c r="D89" s="20" t="str">
        <f t="shared" si="6"/>
        <v>#REF!</v>
      </c>
      <c r="E89" s="20" t="str">
        <f>VLOOKUP(D89,'1 - Staff Calendar View'!$I$49:$J$51,2,FALSE())</f>
        <v>#REF!</v>
      </c>
      <c r="F89" s="20" t="str">
        <f t="shared" si="7"/>
        <v>#REF!</v>
      </c>
      <c r="G89" s="20" t="str">
        <f t="shared" si="8"/>
        <v>#REF!</v>
      </c>
      <c r="H89" s="20" t="str">
        <f t="shared" si="2"/>
        <v>#REF!</v>
      </c>
    </row>
    <row r="90" ht="15.75" customHeight="1">
      <c r="A90" s="20" t="str">
        <f>'1 - Staff Calendar View'!$A$39</f>
        <v>Wk 13</v>
      </c>
      <c r="B90" s="22">
        <f>'1 - Staff Calendar View'!D$38</f>
        <v>46224</v>
      </c>
      <c r="C90" s="20" t="str">
        <f t="shared" si="1"/>
        <v>Tue</v>
      </c>
      <c r="D90" s="20" t="str">
        <f>'1 - Staff Calendar View'!$B$39</f>
        <v>Clayton Drop-in</v>
      </c>
      <c r="E90" s="20" t="str">
        <f>VLOOKUP(D90,'1 - Staff Calendar View'!$I$49:$J$51,2,FALSE())</f>
        <v>#N/A</v>
      </c>
      <c r="F90" s="20" t="str">
        <f>'1 - Staff Calendar View'!D$39</f>
        <v>Advay</v>
      </c>
      <c r="G90" s="20" t="str">
        <f>IF('1 - Staff Calendar View'!D$40="-","-",'1 - Staff Calendar View'!D$40)</f>
        <v>Cass</v>
      </c>
      <c r="H90" s="20" t="str">
        <f t="shared" si="2"/>
        <v>#REF!</v>
      </c>
    </row>
    <row r="91" ht="15.75" customHeight="1">
      <c r="A91" s="20" t="str">
        <f>'1 - Staff Calendar View'!$A$39</f>
        <v>Wk 13</v>
      </c>
      <c r="B91" s="22">
        <f>'1 - Staff Calendar View'!D$38</f>
        <v>46224</v>
      </c>
      <c r="C91" s="20" t="str">
        <f t="shared" si="1"/>
        <v>Tue</v>
      </c>
      <c r="D91" s="20" t="str">
        <f>'1 - Staff Calendar View'!$B$39</f>
        <v>Clayton Drop-in</v>
      </c>
      <c r="E91" s="20" t="str">
        <f>VLOOKUP(D91,'1 - Staff Calendar View'!$I$49:$J$51,2,FALSE())</f>
        <v>#N/A</v>
      </c>
      <c r="F91" s="20" t="str">
        <f>'1 - Staff Calendar View'!D$40</f>
        <v>Cass</v>
      </c>
      <c r="G91" s="20" t="str">
        <f>IF('1 - Staff Calendar View'!D$39="-","-",'1 - Staff Calendar View'!D$39)</f>
        <v>Advay</v>
      </c>
      <c r="H91" s="20" t="str">
        <f t="shared" si="2"/>
        <v>#REF!</v>
      </c>
    </row>
    <row r="92" ht="15.75" customHeight="1">
      <c r="A92" s="20" t="str">
        <f>'1 - Staff Calendar View'!$A$39</f>
        <v>Wk 13</v>
      </c>
      <c r="B92" s="22">
        <f>'1 - Staff Calendar View'!D$38</f>
        <v>46224</v>
      </c>
      <c r="C92" s="20" t="str">
        <f t="shared" si="1"/>
        <v>Tue</v>
      </c>
      <c r="D92" s="20" t="str">
        <f>'1 - Staff Calendar View'!$B$43</f>
        <v/>
      </c>
      <c r="E92" s="20" t="str">
        <f>VLOOKUP(D92,'1 - Staff Calendar View'!$I$49:$J$51,2,FALSE())</f>
        <v>#N/A</v>
      </c>
      <c r="F92" s="20" t="str">
        <f>'1 - Staff Calendar View'!D$43</f>
        <v>Ekachit</v>
      </c>
      <c r="G92" s="20" t="str">
        <f>IF('1 - Staff Calendar View'!D$45="-","-",'1 - Staff Calendar View'!D$45)</f>
        <v/>
      </c>
      <c r="H92" s="20" t="str">
        <f t="shared" si="2"/>
        <v>#REF!</v>
      </c>
    </row>
    <row r="93" ht="15.75" customHeight="1">
      <c r="A93" s="20" t="str">
        <f>'1 - Staff Calendar View'!$A$39</f>
        <v>Wk 13</v>
      </c>
      <c r="B93" s="22">
        <f>'1 - Staff Calendar View'!D$38</f>
        <v>46224</v>
      </c>
      <c r="C93" s="20" t="str">
        <f t="shared" si="1"/>
        <v>Tue</v>
      </c>
      <c r="D93" s="20" t="str">
        <f>'1 - Staff Calendar View'!$B$43</f>
        <v/>
      </c>
      <c r="E93" s="20" t="str">
        <f>VLOOKUP(D93,'1 - Staff Calendar View'!$I$49:$J$51,2,FALSE())</f>
        <v>#N/A</v>
      </c>
      <c r="F93" s="20" t="str">
        <f>'1 - Staff Calendar View'!D$45</f>
        <v/>
      </c>
      <c r="G93" s="20" t="str">
        <f>IF('1 - Staff Calendar View'!D$43="-","-",'1 - Staff Calendar View'!D$43)</f>
        <v>Ekachit</v>
      </c>
      <c r="H93" s="20" t="str">
        <f t="shared" si="2"/>
        <v>#REF!</v>
      </c>
    </row>
    <row r="94" ht="15.75" customHeight="1">
      <c r="A94" s="20" t="str">
        <f>'1 - Staff Calendar View'!$A$39</f>
        <v>Wk 13</v>
      </c>
      <c r="B94" s="22">
        <f>'1 - Staff Calendar View'!D$38</f>
        <v>46224</v>
      </c>
      <c r="C94" s="20" t="str">
        <f t="shared" si="1"/>
        <v>Tue</v>
      </c>
      <c r="D94" s="20" t="str">
        <f t="shared" ref="D94:D95" si="9">#REF!</f>
        <v>#REF!</v>
      </c>
      <c r="E94" s="20" t="str">
        <f>VLOOKUP(D94,'1 - Staff Calendar View'!$I$49:$J$51,2,FALSE())</f>
        <v>#REF!</v>
      </c>
      <c r="F94" s="20" t="str">
        <f t="shared" ref="F94:F95" si="10">#REF!</f>
        <v>#REF!</v>
      </c>
      <c r="G94" s="20" t="str">
        <f t="shared" ref="G94:G95" si="11">IF(#REF!="-","-",#REF!)</f>
        <v>#REF!</v>
      </c>
      <c r="H94" s="20" t="str">
        <f t="shared" si="2"/>
        <v>#REF!</v>
      </c>
    </row>
    <row r="95" ht="15.75" customHeight="1">
      <c r="A95" s="20" t="str">
        <f>'1 - Staff Calendar View'!$A$39</f>
        <v>Wk 13</v>
      </c>
      <c r="B95" s="22">
        <f>'1 - Staff Calendar View'!D$38</f>
        <v>46224</v>
      </c>
      <c r="C95" s="20" t="str">
        <f t="shared" si="1"/>
        <v>Tue</v>
      </c>
      <c r="D95" s="20" t="str">
        <f t="shared" si="9"/>
        <v>#REF!</v>
      </c>
      <c r="E95" s="20" t="str">
        <f>VLOOKUP(D95,'1 - Staff Calendar View'!$I$49:$J$51,2,FALSE())</f>
        <v>#REF!</v>
      </c>
      <c r="F95" s="20" t="str">
        <f t="shared" si="10"/>
        <v>#REF!</v>
      </c>
      <c r="G95" s="20" t="str">
        <f t="shared" si="11"/>
        <v>#REF!</v>
      </c>
      <c r="H95" s="20" t="str">
        <f t="shared" si="2"/>
        <v>#REF!</v>
      </c>
    </row>
    <row r="96" ht="15.75" customHeight="1">
      <c r="A96" s="20" t="str">
        <f>'1 - Staff Calendar View'!$A$39</f>
        <v>Wk 13</v>
      </c>
      <c r="B96" s="22">
        <f>'1 - Staff Calendar View'!D$38</f>
        <v>46224</v>
      </c>
      <c r="C96" s="20" t="str">
        <f t="shared" si="1"/>
        <v>Tue</v>
      </c>
      <c r="D96" s="20" t="str">
        <f t="shared" ref="D96:D97" si="12">#REF!</f>
        <v>#REF!</v>
      </c>
      <c r="E96" s="20" t="str">
        <f>VLOOKUP(D96,'1 - Staff Calendar View'!$I$49:$J$51,2,FALSE())</f>
        <v>#REF!</v>
      </c>
      <c r="F96" s="20" t="str">
        <f t="shared" ref="F96:F97" si="13">#REF!</f>
        <v>#REF!</v>
      </c>
      <c r="G96" s="20" t="str">
        <f t="shared" ref="G96:G97" si="14">IF(#REF!="-","-",#REF!)</f>
        <v>#REF!</v>
      </c>
      <c r="H96" s="20" t="str">
        <f t="shared" si="2"/>
        <v>#REF!</v>
      </c>
    </row>
    <row r="97" ht="15.75" customHeight="1">
      <c r="A97" s="20" t="str">
        <f>'1 - Staff Calendar View'!$A$39</f>
        <v>Wk 13</v>
      </c>
      <c r="B97" s="22">
        <f>'1 - Staff Calendar View'!D$38</f>
        <v>46224</v>
      </c>
      <c r="C97" s="20" t="str">
        <f t="shared" si="1"/>
        <v>Tue</v>
      </c>
      <c r="D97" s="20" t="str">
        <f t="shared" si="12"/>
        <v>#REF!</v>
      </c>
      <c r="E97" s="20" t="str">
        <f>VLOOKUP(D97,'1 - Staff Calendar View'!$I$49:$J$51,2,FALSE())</f>
        <v>#REF!</v>
      </c>
      <c r="F97" s="20" t="str">
        <f t="shared" si="13"/>
        <v>#REF!</v>
      </c>
      <c r="G97" s="20" t="str">
        <f t="shared" si="14"/>
        <v>#REF!</v>
      </c>
      <c r="H97" s="20" t="str">
        <f t="shared" si="2"/>
        <v>#REF!</v>
      </c>
    </row>
    <row r="98" ht="15.75" customHeight="1">
      <c r="A98" s="20" t="str">
        <f>'1 - Staff Calendar View'!$A$39</f>
        <v>Wk 13</v>
      </c>
      <c r="B98" s="22">
        <f>'1 - Staff Calendar View'!E$38</f>
        <v>46225</v>
      </c>
      <c r="C98" s="20" t="str">
        <f t="shared" si="1"/>
        <v>Wed</v>
      </c>
      <c r="D98" s="20" t="str">
        <f>'1 - Staff Calendar View'!$B$39</f>
        <v>Clayton Drop-in</v>
      </c>
      <c r="E98" s="20" t="str">
        <f>VLOOKUP(D98,'1 - Staff Calendar View'!$I$49:$J$51,2,FALSE())</f>
        <v>#N/A</v>
      </c>
      <c r="F98" s="20" t="str">
        <f>'1 - Staff Calendar View'!E$39</f>
        <v>Yunsoo</v>
      </c>
      <c r="G98" s="20" t="str">
        <f>IF('1 - Staff Calendar View'!E$41="-","-",'1 - Staff Calendar View'!E$41)</f>
        <v>Cass</v>
      </c>
      <c r="H98" s="20" t="str">
        <f t="shared" si="2"/>
        <v>#REF!</v>
      </c>
    </row>
    <row r="99" ht="15.75" customHeight="1">
      <c r="A99" s="20" t="str">
        <f>'1 - Staff Calendar View'!$A$39</f>
        <v>Wk 13</v>
      </c>
      <c r="B99" s="22">
        <f>'1 - Staff Calendar View'!E$38</f>
        <v>46225</v>
      </c>
      <c r="C99" s="20" t="str">
        <f t="shared" si="1"/>
        <v>Wed</v>
      </c>
      <c r="D99" s="20" t="str">
        <f>'1 - Staff Calendar View'!$B$39</f>
        <v>Clayton Drop-in</v>
      </c>
      <c r="E99" s="20" t="str">
        <f>VLOOKUP(D99,'1 - Staff Calendar View'!$I$49:$J$51,2,FALSE())</f>
        <v>#N/A</v>
      </c>
      <c r="F99" s="20" t="str">
        <f>'1 - Staff Calendar View'!E$41</f>
        <v>Cass</v>
      </c>
      <c r="G99" s="20" t="str">
        <f>IF('1 - Staff Calendar View'!E$39="-","-",'1 - Staff Calendar View'!E$39)</f>
        <v>Yunsoo</v>
      </c>
      <c r="H99" s="20" t="str">
        <f t="shared" si="2"/>
        <v>#REF!</v>
      </c>
    </row>
    <row r="100" ht="15.75" customHeight="1">
      <c r="A100" s="20" t="str">
        <f>'1 - Staff Calendar View'!$A$39</f>
        <v>Wk 13</v>
      </c>
      <c r="B100" s="22">
        <f>'1 - Staff Calendar View'!E$38</f>
        <v>46225</v>
      </c>
      <c r="C100" s="20" t="str">
        <f t="shared" si="1"/>
        <v>Wed</v>
      </c>
      <c r="D100" s="20" t="str">
        <f>'1 - Staff Calendar View'!$B$43</f>
        <v/>
      </c>
      <c r="E100" s="20" t="str">
        <f>VLOOKUP(D100,'1 - Staff Calendar View'!$I$49:$J$51,2,FALSE())</f>
        <v>#N/A</v>
      </c>
      <c r="F100" s="20" t="str">
        <f>'1 - Staff Calendar View'!E$43</f>
        <v>Advay</v>
      </c>
      <c r="G100" s="20" t="str">
        <f>IF('1 - Staff Calendar View'!E$45="-","-",'1 - Staff Calendar View'!E$45)</f>
        <v>Josh (shadowing)</v>
      </c>
      <c r="H100" s="20" t="str">
        <f t="shared" si="2"/>
        <v>#REF!</v>
      </c>
    </row>
    <row r="101" ht="15.75" customHeight="1">
      <c r="A101" s="20" t="str">
        <f>'1 - Staff Calendar View'!$A$39</f>
        <v>Wk 13</v>
      </c>
      <c r="B101" s="22">
        <f>'1 - Staff Calendar View'!E$38</f>
        <v>46225</v>
      </c>
      <c r="C101" s="20" t="str">
        <f t="shared" si="1"/>
        <v>Wed</v>
      </c>
      <c r="D101" s="20" t="str">
        <f>'1 - Staff Calendar View'!$B$43</f>
        <v/>
      </c>
      <c r="E101" s="20" t="str">
        <f>VLOOKUP(D101,'1 - Staff Calendar View'!$I$49:$J$51,2,FALSE())</f>
        <v>#N/A</v>
      </c>
      <c r="F101" s="20" t="str">
        <f>'1 - Staff Calendar View'!E$45</f>
        <v>Josh (shadowing)</v>
      </c>
      <c r="G101" s="20" t="str">
        <f>IF('1 - Staff Calendar View'!E$43="-","-",'1 - Staff Calendar View'!E$43)</f>
        <v>Advay</v>
      </c>
      <c r="H101" s="20" t="str">
        <f t="shared" si="2"/>
        <v>#REF!</v>
      </c>
    </row>
    <row r="102" ht="15.75" customHeight="1">
      <c r="A102" s="20" t="str">
        <f>'1 - Staff Calendar View'!$A$39</f>
        <v>Wk 13</v>
      </c>
      <c r="B102" s="22">
        <f>'1 - Staff Calendar View'!E$38</f>
        <v>46225</v>
      </c>
      <c r="C102" s="20" t="str">
        <f t="shared" si="1"/>
        <v>Wed</v>
      </c>
      <c r="D102" s="20" t="str">
        <f t="shared" ref="D102:D103" si="15">#REF!</f>
        <v>#REF!</v>
      </c>
      <c r="E102" s="20" t="str">
        <f>VLOOKUP(D102,'1 - Staff Calendar View'!$I$49:$J$51,2,FALSE())</f>
        <v>#REF!</v>
      </c>
      <c r="F102" s="20" t="str">
        <f t="shared" ref="F102:F103" si="16">#REF!</f>
        <v>#REF!</v>
      </c>
      <c r="G102" s="20" t="str">
        <f t="shared" ref="G102:G103" si="17">IF(#REF!="-","-",#REF!)</f>
        <v>#REF!</v>
      </c>
      <c r="H102" s="20" t="str">
        <f t="shared" si="2"/>
        <v>#REF!</v>
      </c>
    </row>
    <row r="103" ht="15.75" customHeight="1">
      <c r="A103" s="20" t="str">
        <f>'1 - Staff Calendar View'!$A$39</f>
        <v>Wk 13</v>
      </c>
      <c r="B103" s="22">
        <f>'1 - Staff Calendar View'!E$38</f>
        <v>46225</v>
      </c>
      <c r="C103" s="20" t="str">
        <f t="shared" si="1"/>
        <v>Wed</v>
      </c>
      <c r="D103" s="20" t="str">
        <f t="shared" si="15"/>
        <v>#REF!</v>
      </c>
      <c r="E103" s="20" t="str">
        <f>VLOOKUP(D103,'1 - Staff Calendar View'!$I$49:$J$51,2,FALSE())</f>
        <v>#REF!</v>
      </c>
      <c r="F103" s="20" t="str">
        <f t="shared" si="16"/>
        <v>#REF!</v>
      </c>
      <c r="G103" s="20" t="str">
        <f t="shared" si="17"/>
        <v>#REF!</v>
      </c>
      <c r="H103" s="20" t="str">
        <f t="shared" si="2"/>
        <v>#REF!</v>
      </c>
    </row>
    <row r="104" ht="15.75" customHeight="1">
      <c r="A104" s="20" t="str">
        <f>'1 - Staff Calendar View'!$A$39</f>
        <v>Wk 13</v>
      </c>
      <c r="B104" s="22">
        <f>'1 - Staff Calendar View'!E$38</f>
        <v>46225</v>
      </c>
      <c r="C104" s="20" t="str">
        <f t="shared" si="1"/>
        <v>Wed</v>
      </c>
      <c r="D104" s="20" t="str">
        <f t="shared" ref="D104:D105" si="18">#REF!</f>
        <v>#REF!</v>
      </c>
      <c r="E104" s="20" t="str">
        <f>VLOOKUP(D104,'1 - Staff Calendar View'!$I$49:$J$51,2,FALSE())</f>
        <v>#REF!</v>
      </c>
      <c r="F104" s="20" t="str">
        <f t="shared" ref="F104:F105" si="19">#REF!</f>
        <v>#REF!</v>
      </c>
      <c r="G104" s="20" t="str">
        <f t="shared" ref="G104:G105" si="20">IF(#REF!="-","-",#REF!)</f>
        <v>#REF!</v>
      </c>
      <c r="H104" s="20" t="str">
        <f t="shared" si="2"/>
        <v>#REF!</v>
      </c>
    </row>
    <row r="105" ht="15.75" customHeight="1">
      <c r="A105" s="20" t="str">
        <f>'1 - Staff Calendar View'!$A$39</f>
        <v>Wk 13</v>
      </c>
      <c r="B105" s="22">
        <f>'1 - Staff Calendar View'!E$38</f>
        <v>46225</v>
      </c>
      <c r="C105" s="20" t="str">
        <f t="shared" si="1"/>
        <v>Wed</v>
      </c>
      <c r="D105" s="20" t="str">
        <f t="shared" si="18"/>
        <v>#REF!</v>
      </c>
      <c r="E105" s="20" t="str">
        <f>VLOOKUP(D105,'1 - Staff Calendar View'!$I$49:$J$51,2,FALSE())</f>
        <v>#REF!</v>
      </c>
      <c r="F105" s="20" t="str">
        <f t="shared" si="19"/>
        <v>#REF!</v>
      </c>
      <c r="G105" s="20" t="str">
        <f t="shared" si="20"/>
        <v>#REF!</v>
      </c>
      <c r="H105" s="20" t="str">
        <f t="shared" si="2"/>
        <v>#REF!</v>
      </c>
    </row>
    <row r="106" ht="15.75" customHeight="1">
      <c r="A106" s="20" t="str">
        <f>'1 - Staff Calendar View'!$A$39</f>
        <v>Wk 13</v>
      </c>
      <c r="B106" s="22">
        <f>'1 - Staff Calendar View'!F$38</f>
        <v>46226</v>
      </c>
      <c r="C106" s="20" t="str">
        <f t="shared" si="1"/>
        <v>Thu</v>
      </c>
      <c r="D106" s="20" t="str">
        <f>'1 - Staff Calendar View'!$B$39</f>
        <v>Clayton Drop-in</v>
      </c>
      <c r="E106" s="20" t="str">
        <f>VLOOKUP(D106,'1 - Staff Calendar View'!$I$49:$J$51,2,FALSE())</f>
        <v>#N/A</v>
      </c>
      <c r="F106" s="20" t="str">
        <f>'1 - Staff Calendar View'!F$39</f>
        <v>Hailey</v>
      </c>
      <c r="G106" s="20" t="str">
        <f>IF('1 - Staff Calendar View'!F$41="-","-",'1 - Staff Calendar View'!F$41)</f>
        <v>Omila</v>
      </c>
      <c r="H106" s="20" t="str">
        <f t="shared" si="2"/>
        <v>#REF!</v>
      </c>
    </row>
    <row r="107" ht="15.75" customHeight="1">
      <c r="A107" s="20" t="str">
        <f>'1 - Staff Calendar View'!$A$39</f>
        <v>Wk 13</v>
      </c>
      <c r="B107" s="22">
        <f>'1 - Staff Calendar View'!F$38</f>
        <v>46226</v>
      </c>
      <c r="C107" s="20" t="str">
        <f t="shared" si="1"/>
        <v>Thu</v>
      </c>
      <c r="D107" s="20" t="str">
        <f>'1 - Staff Calendar View'!$B$39</f>
        <v>Clayton Drop-in</v>
      </c>
      <c r="E107" s="20" t="str">
        <f>VLOOKUP(D107,'1 - Staff Calendar View'!$I$49:$J$51,2,FALSE())</f>
        <v>#N/A</v>
      </c>
      <c r="F107" s="20" t="str">
        <f>'1 - Staff Calendar View'!F$41</f>
        <v>Omila</v>
      </c>
      <c r="G107" s="20" t="str">
        <f>IF('1 - Staff Calendar View'!F$39="-","-",'1 - Staff Calendar View'!F$39)</f>
        <v>Hailey</v>
      </c>
      <c r="H107" s="20" t="str">
        <f t="shared" si="2"/>
        <v>#REF!</v>
      </c>
    </row>
    <row r="108" ht="15.75" customHeight="1">
      <c r="A108" s="20" t="str">
        <f>'1 - Staff Calendar View'!$A$39</f>
        <v>Wk 13</v>
      </c>
      <c r="B108" s="22">
        <f>'1 - Staff Calendar View'!F$38</f>
        <v>46226</v>
      </c>
      <c r="C108" s="20" t="str">
        <f t="shared" si="1"/>
        <v>Thu</v>
      </c>
      <c r="D108" s="20" t="str">
        <f>'1 - Staff Calendar View'!$B$43</f>
        <v/>
      </c>
      <c r="E108" s="20" t="str">
        <f>VLOOKUP(D108,'1 - Staff Calendar View'!$I$49:$J$51,2,FALSE())</f>
        <v>#N/A</v>
      </c>
      <c r="F108" s="20" t="str">
        <f>'1 - Staff Calendar View'!F$43</f>
        <v>Ekachit</v>
      </c>
      <c r="G108" s="20" t="str">
        <f>IF('1 - Staff Calendar View'!F$45="-","-",'1 - Staff Calendar View'!F$45)</f>
        <v/>
      </c>
      <c r="H108" s="20" t="str">
        <f t="shared" si="2"/>
        <v>#REF!</v>
      </c>
    </row>
    <row r="109" ht="15.75" customHeight="1">
      <c r="A109" s="20" t="str">
        <f>'1 - Staff Calendar View'!$A$39</f>
        <v>Wk 13</v>
      </c>
      <c r="B109" s="22">
        <f>'1 - Staff Calendar View'!F$38</f>
        <v>46226</v>
      </c>
      <c r="C109" s="20" t="str">
        <f t="shared" si="1"/>
        <v>Thu</v>
      </c>
      <c r="D109" s="20" t="str">
        <f>'1 - Staff Calendar View'!$B$43</f>
        <v/>
      </c>
      <c r="E109" s="20" t="str">
        <f>VLOOKUP(D109,'1 - Staff Calendar View'!$I$49:$J$51,2,FALSE())</f>
        <v>#N/A</v>
      </c>
      <c r="F109" s="20" t="str">
        <f>'1 - Staff Calendar View'!F$45</f>
        <v/>
      </c>
      <c r="G109" s="20" t="str">
        <f>IF('1 - Staff Calendar View'!F$43="-","-",'1 - Staff Calendar View'!F$43)</f>
        <v>Ekachit</v>
      </c>
      <c r="H109" s="20" t="str">
        <f t="shared" si="2"/>
        <v>#REF!</v>
      </c>
    </row>
    <row r="110" ht="15.75" customHeight="1">
      <c r="A110" s="20" t="str">
        <f>'1 - Staff Calendar View'!$A$39</f>
        <v>Wk 13</v>
      </c>
      <c r="B110" s="22">
        <f>'1 - Staff Calendar View'!F$38</f>
        <v>46226</v>
      </c>
      <c r="C110" s="20" t="str">
        <f t="shared" si="1"/>
        <v>Thu</v>
      </c>
      <c r="D110" s="20" t="str">
        <f t="shared" ref="D110:D111" si="21">#REF!</f>
        <v>#REF!</v>
      </c>
      <c r="E110" s="20" t="str">
        <f>VLOOKUP(D110,'1 - Staff Calendar View'!$I$49:$J$51,2,FALSE())</f>
        <v>#REF!</v>
      </c>
      <c r="F110" s="20" t="str">
        <f t="shared" ref="F110:F111" si="22">#REF!</f>
        <v>#REF!</v>
      </c>
      <c r="G110" s="20" t="str">
        <f t="shared" ref="G110:G111" si="23">IF(#REF!="-","-",#REF!)</f>
        <v>#REF!</v>
      </c>
      <c r="H110" s="20" t="str">
        <f t="shared" si="2"/>
        <v>#REF!</v>
      </c>
    </row>
    <row r="111" ht="15.75" customHeight="1">
      <c r="A111" s="20" t="str">
        <f>'1 - Staff Calendar View'!$A$39</f>
        <v>Wk 13</v>
      </c>
      <c r="B111" s="22">
        <f>'1 - Staff Calendar View'!F$38</f>
        <v>46226</v>
      </c>
      <c r="C111" s="20" t="str">
        <f t="shared" si="1"/>
        <v>Thu</v>
      </c>
      <c r="D111" s="20" t="str">
        <f t="shared" si="21"/>
        <v>#REF!</v>
      </c>
      <c r="E111" s="20" t="str">
        <f>VLOOKUP(D111,'1 - Staff Calendar View'!$I$49:$J$51,2,FALSE())</f>
        <v>#REF!</v>
      </c>
      <c r="F111" s="20" t="str">
        <f t="shared" si="22"/>
        <v>#REF!</v>
      </c>
      <c r="G111" s="20" t="str">
        <f t="shared" si="23"/>
        <v>#REF!</v>
      </c>
      <c r="H111" s="20" t="str">
        <f t="shared" si="2"/>
        <v>#REF!</v>
      </c>
    </row>
    <row r="112" ht="15.75" customHeight="1">
      <c r="A112" s="20" t="str">
        <f>'1 - Staff Calendar View'!$A$39</f>
        <v>Wk 13</v>
      </c>
      <c r="B112" s="22">
        <f>'1 - Staff Calendar View'!F$38</f>
        <v>46226</v>
      </c>
      <c r="C112" s="20" t="str">
        <f t="shared" si="1"/>
        <v>Thu</v>
      </c>
      <c r="D112" s="20" t="str">
        <f t="shared" ref="D112:D113" si="24">#REF!</f>
        <v>#REF!</v>
      </c>
      <c r="E112" s="20" t="str">
        <f>VLOOKUP(D112,'1 - Staff Calendar View'!$I$49:$J$51,2,FALSE())</f>
        <v>#REF!</v>
      </c>
      <c r="F112" s="20" t="str">
        <f t="shared" ref="F112:F113" si="25">#REF!</f>
        <v>#REF!</v>
      </c>
      <c r="G112" s="20" t="str">
        <f t="shared" ref="G112:G113" si="26">IF(#REF!="-","-",#REF!)</f>
        <v>#REF!</v>
      </c>
      <c r="H112" s="20" t="str">
        <f t="shared" si="2"/>
        <v>#REF!</v>
      </c>
    </row>
    <row r="113" ht="15.75" customHeight="1">
      <c r="A113" s="20" t="str">
        <f>'1 - Staff Calendar View'!$A$39</f>
        <v>Wk 13</v>
      </c>
      <c r="B113" s="22">
        <f>'1 - Staff Calendar View'!F$38</f>
        <v>46226</v>
      </c>
      <c r="C113" s="20" t="str">
        <f t="shared" si="1"/>
        <v>Thu</v>
      </c>
      <c r="D113" s="20" t="str">
        <f t="shared" si="24"/>
        <v>#REF!</v>
      </c>
      <c r="E113" s="20" t="str">
        <f>VLOOKUP(D113,'1 - Staff Calendar View'!$I$49:$J$51,2,FALSE())</f>
        <v>#REF!</v>
      </c>
      <c r="F113" s="20" t="str">
        <f t="shared" si="25"/>
        <v>#REF!</v>
      </c>
      <c r="G113" s="20" t="str">
        <f t="shared" si="26"/>
        <v>#REF!</v>
      </c>
      <c r="H113" s="20" t="str">
        <f t="shared" si="2"/>
        <v>#REF!</v>
      </c>
    </row>
    <row r="114" ht="15.75" customHeight="1">
      <c r="A114" s="20" t="str">
        <f>'1 - Staff Calendar View'!$A$39</f>
        <v>Wk 13</v>
      </c>
      <c r="B114" s="22">
        <f>'1 - Staff Calendar View'!G$38</f>
        <v>46227</v>
      </c>
      <c r="C114" s="20" t="str">
        <f t="shared" si="1"/>
        <v>Fri</v>
      </c>
      <c r="D114" s="20" t="str">
        <f>'1 - Staff Calendar View'!$B$39</f>
        <v>Clayton Drop-in</v>
      </c>
      <c r="E114" s="20" t="str">
        <f>VLOOKUP(D114,'1 - Staff Calendar View'!$I$49:$J$51,2,FALSE())</f>
        <v>#N/A</v>
      </c>
      <c r="F114" s="20" t="str">
        <f>'1 - Staff Calendar View'!G$39</f>
        <v/>
      </c>
      <c r="G114" s="20" t="str">
        <f>IF('1 - Staff Calendar View'!G$41="-","-",'1 - Staff Calendar View'!G$41)</f>
        <v/>
      </c>
      <c r="H114" s="20" t="str">
        <f t="shared" si="2"/>
        <v>#REF!</v>
      </c>
    </row>
    <row r="115" ht="15.75" customHeight="1">
      <c r="A115" s="20" t="str">
        <f>'1 - Staff Calendar View'!$A$39</f>
        <v>Wk 13</v>
      </c>
      <c r="B115" s="22">
        <f>'1 - Staff Calendar View'!G$38</f>
        <v>46227</v>
      </c>
      <c r="C115" s="20" t="str">
        <f t="shared" si="1"/>
        <v>Fri</v>
      </c>
      <c r="D115" s="20" t="str">
        <f>'1 - Staff Calendar View'!$B$39</f>
        <v>Clayton Drop-in</v>
      </c>
      <c r="E115" s="20" t="str">
        <f>VLOOKUP(D115,'1 - Staff Calendar View'!$I$49:$J$51,2,FALSE())</f>
        <v>#N/A</v>
      </c>
      <c r="F115" s="20" t="str">
        <f>'1 - Staff Calendar View'!G$41</f>
        <v/>
      </c>
      <c r="G115" s="20" t="str">
        <f>IF('1 - Staff Calendar View'!G$39="-","-",'1 - Staff Calendar View'!G$39)</f>
        <v/>
      </c>
      <c r="H115" s="20" t="str">
        <f t="shared" si="2"/>
        <v>#REF!</v>
      </c>
    </row>
    <row r="116" ht="15.75" customHeight="1">
      <c r="A116" s="20" t="str">
        <f>'1 - Staff Calendar View'!$A$39</f>
        <v>Wk 13</v>
      </c>
      <c r="B116" s="22">
        <f>'1 - Staff Calendar View'!G$38</f>
        <v>46227</v>
      </c>
      <c r="C116" s="20" t="str">
        <f t="shared" si="1"/>
        <v>Fri</v>
      </c>
      <c r="D116" s="20" t="str">
        <f>'1 - Staff Calendar View'!$B$43</f>
        <v/>
      </c>
      <c r="E116" s="20" t="str">
        <f>VLOOKUP(D116,'1 - Staff Calendar View'!$I$49:$J$51,2,FALSE())</f>
        <v>#N/A</v>
      </c>
      <c r="F116" s="20" t="str">
        <f>'1 - Staff Calendar View'!G$43</f>
        <v/>
      </c>
      <c r="G116" s="20" t="str">
        <f>IF('1 - Staff Calendar View'!G$45="-","-",'1 - Staff Calendar View'!G$45)</f>
        <v/>
      </c>
      <c r="H116" s="20" t="str">
        <f t="shared" si="2"/>
        <v>#REF!</v>
      </c>
    </row>
    <row r="117" ht="15.75" customHeight="1">
      <c r="A117" s="20" t="str">
        <f>'1 - Staff Calendar View'!$A$39</f>
        <v>Wk 13</v>
      </c>
      <c r="B117" s="22">
        <f>'1 - Staff Calendar View'!G$38</f>
        <v>46227</v>
      </c>
      <c r="C117" s="20" t="str">
        <f t="shared" si="1"/>
        <v>Fri</v>
      </c>
      <c r="D117" s="20" t="str">
        <f>'1 - Staff Calendar View'!$B$43</f>
        <v/>
      </c>
      <c r="E117" s="20" t="str">
        <f>VLOOKUP(D117,'1 - Staff Calendar View'!$I$49:$J$51,2,FALSE())</f>
        <v>#N/A</v>
      </c>
      <c r="F117" s="20" t="str">
        <f>'1 - Staff Calendar View'!G$45</f>
        <v/>
      </c>
      <c r="G117" s="20" t="str">
        <f>IF('1 - Staff Calendar View'!G$43="-","-",'1 - Staff Calendar View'!G$43)</f>
        <v/>
      </c>
      <c r="H117" s="20" t="str">
        <f t="shared" si="2"/>
        <v>#REF!</v>
      </c>
    </row>
    <row r="118" ht="15.75" customHeight="1">
      <c r="A118" s="20" t="str">
        <f>'1 - Staff Calendar View'!$A$39</f>
        <v>Wk 13</v>
      </c>
      <c r="B118" s="22">
        <f>'1 - Staff Calendar View'!G$38</f>
        <v>46227</v>
      </c>
      <c r="C118" s="20" t="str">
        <f t="shared" si="1"/>
        <v>Fri</v>
      </c>
      <c r="D118" s="20" t="str">
        <f t="shared" ref="D118:D119" si="27">#REF!</f>
        <v>#REF!</v>
      </c>
      <c r="E118" s="20" t="str">
        <f>VLOOKUP(D118,'1 - Staff Calendar View'!$I$49:$J$51,2,FALSE())</f>
        <v>#REF!</v>
      </c>
      <c r="F118" s="20" t="str">
        <f t="shared" ref="F118:F119" si="28">#REF!</f>
        <v>#REF!</v>
      </c>
      <c r="G118" s="20" t="str">
        <f t="shared" ref="G118:G119" si="29">IF(#REF!="-","-",#REF!)</f>
        <v>#REF!</v>
      </c>
      <c r="H118" s="20" t="str">
        <f t="shared" si="2"/>
        <v>#REF!</v>
      </c>
    </row>
    <row r="119" ht="15.75" customHeight="1">
      <c r="A119" s="20" t="str">
        <f>'1 - Staff Calendar View'!$A$39</f>
        <v>Wk 13</v>
      </c>
      <c r="B119" s="22">
        <f>'1 - Staff Calendar View'!G$38</f>
        <v>46227</v>
      </c>
      <c r="C119" s="20" t="str">
        <f t="shared" si="1"/>
        <v>Fri</v>
      </c>
      <c r="D119" s="20" t="str">
        <f t="shared" si="27"/>
        <v>#REF!</v>
      </c>
      <c r="E119" s="20" t="str">
        <f>VLOOKUP(D119,'1 - Staff Calendar View'!$I$49:$J$51,2,FALSE())</f>
        <v>#REF!</v>
      </c>
      <c r="F119" s="20" t="str">
        <f t="shared" si="28"/>
        <v>#REF!</v>
      </c>
      <c r="G119" s="20" t="str">
        <f t="shared" si="29"/>
        <v>#REF!</v>
      </c>
      <c r="H119" s="20" t="str">
        <f t="shared" si="2"/>
        <v>#REF!</v>
      </c>
    </row>
    <row r="120" ht="15.75" customHeight="1">
      <c r="A120" s="20" t="str">
        <f>'1 - Staff Calendar View'!$A$39</f>
        <v>Wk 13</v>
      </c>
      <c r="B120" s="22">
        <f>'1 - Staff Calendar View'!G$38</f>
        <v>46227</v>
      </c>
      <c r="C120" s="20" t="str">
        <f t="shared" si="1"/>
        <v>Fri</v>
      </c>
      <c r="D120" s="20" t="str">
        <f t="shared" ref="D120:D121" si="30">#REF!</f>
        <v>#REF!</v>
      </c>
      <c r="E120" s="20" t="str">
        <f>VLOOKUP(D120,'1 - Staff Calendar View'!$I$49:$J$51,2,FALSE())</f>
        <v>#REF!</v>
      </c>
      <c r="F120" s="20" t="str">
        <f t="shared" ref="F120:F121" si="31">#REF!</f>
        <v>#REF!</v>
      </c>
      <c r="G120" s="20" t="str">
        <f t="shared" ref="G120:G121" si="32">IF(#REF!="-","-",#REF!)</f>
        <v>#REF!</v>
      </c>
      <c r="H120" s="20" t="str">
        <f t="shared" si="2"/>
        <v>#REF!</v>
      </c>
    </row>
    <row r="121" ht="15.75" customHeight="1">
      <c r="A121" s="20" t="str">
        <f>'1 - Staff Calendar View'!$A$39</f>
        <v>Wk 13</v>
      </c>
      <c r="B121" s="22">
        <f>'1 - Staff Calendar View'!G$38</f>
        <v>46227</v>
      </c>
      <c r="C121" s="20" t="str">
        <f t="shared" si="1"/>
        <v>Fri</v>
      </c>
      <c r="D121" s="20" t="str">
        <f t="shared" si="30"/>
        <v>#REF!</v>
      </c>
      <c r="E121" s="20" t="str">
        <f>VLOOKUP(D121,'1 - Staff Calendar View'!$I$49:$J$51,2,FALSE())</f>
        <v>#REF!</v>
      </c>
      <c r="F121" s="20" t="str">
        <f t="shared" si="31"/>
        <v>#REF!</v>
      </c>
      <c r="G121" s="20" t="str">
        <f t="shared" si="32"/>
        <v>#REF!</v>
      </c>
      <c r="H121" s="20" t="str">
        <f t="shared" si="2"/>
        <v>#REF!</v>
      </c>
    </row>
    <row r="122" ht="15.75" customHeight="1">
      <c r="A122" s="20" t="str">
        <f>'1 - Staff Calendar View'!$A$52</f>
        <v>Wk 14</v>
      </c>
      <c r="B122" s="22">
        <f>'1 - Staff Calendar View'!C$51</f>
        <v>46230</v>
      </c>
      <c r="C122" s="20" t="str">
        <f t="shared" si="1"/>
        <v>Mon</v>
      </c>
      <c r="D122" s="20" t="str">
        <f>'1 - Staff Calendar View'!$B$52</f>
        <v>Clayton Drop-in</v>
      </c>
      <c r="E122" s="20" t="str">
        <f>VLOOKUP(D122,'1 - Staff Calendar View'!$I$49:$J$51,2,FALSE())</f>
        <v>#N/A</v>
      </c>
      <c r="F122" s="20" t="str">
        <f>'1 - Staff Calendar View'!C$52</f>
        <v/>
      </c>
      <c r="G122" s="20" t="str">
        <f>IF('1 - Staff Calendar View'!C$53="-","-",'1 - Staff Calendar View'!C$53)</f>
        <v/>
      </c>
      <c r="H122" s="20" t="str">
        <f t="shared" si="2"/>
        <v>#REF!</v>
      </c>
    </row>
    <row r="123" ht="15.75" customHeight="1">
      <c r="A123" s="20" t="str">
        <f>'1 - Staff Calendar View'!$A$52</f>
        <v>Wk 14</v>
      </c>
      <c r="B123" s="22">
        <f>'1 - Staff Calendar View'!C$51</f>
        <v>46230</v>
      </c>
      <c r="C123" s="20" t="str">
        <f t="shared" si="1"/>
        <v>Mon</v>
      </c>
      <c r="D123" s="20" t="str">
        <f>'1 - Staff Calendar View'!$B$52</f>
        <v>Clayton Drop-in</v>
      </c>
      <c r="E123" s="20" t="str">
        <f>VLOOKUP(D123,'1 - Staff Calendar View'!$I$49:$J$51,2,FALSE())</f>
        <v>#N/A</v>
      </c>
      <c r="F123" s="20" t="str">
        <f>'1 - Staff Calendar View'!C$53</f>
        <v/>
      </c>
      <c r="G123" s="20" t="str">
        <f>IF('1 - Staff Calendar View'!C$52="-","-",'1 - Staff Calendar View'!C$52)</f>
        <v/>
      </c>
      <c r="H123" s="20" t="str">
        <f t="shared" si="2"/>
        <v>#REF!</v>
      </c>
    </row>
    <row r="124" ht="15.75" customHeight="1">
      <c r="A124" s="20" t="str">
        <f>'1 - Staff Calendar View'!$A$52</f>
        <v>Wk 14</v>
      </c>
      <c r="B124" s="22">
        <f>'1 - Staff Calendar View'!C$51</f>
        <v>46230</v>
      </c>
      <c r="C124" s="20" t="str">
        <f t="shared" si="1"/>
        <v>Mon</v>
      </c>
      <c r="D124" s="20" t="str">
        <f>'1 - Staff Calendar View'!$B$55</f>
        <v>Caulfield Drop-in</v>
      </c>
      <c r="E124" s="20" t="str">
        <f>VLOOKUP(D124,'1 - Staff Calendar View'!$I$49:$J$51,2,FALSE())</f>
        <v>10:40AM-2:20PM</v>
      </c>
      <c r="F124" s="20" t="str">
        <f>'1 - Staff Calendar View'!C$55</f>
        <v/>
      </c>
      <c r="G124" s="20" t="str">
        <f>IF('1 - Staff Calendar View'!C$56="-","-",'1 - Staff Calendar View'!C$56)</f>
        <v/>
      </c>
      <c r="H124" s="20" t="str">
        <f t="shared" si="2"/>
        <v>#REF!</v>
      </c>
    </row>
    <row r="125" ht="15.75" customHeight="1">
      <c r="A125" s="20" t="str">
        <f>'1 - Staff Calendar View'!$A$52</f>
        <v>Wk 14</v>
      </c>
      <c r="B125" s="22">
        <f>'1 - Staff Calendar View'!C$51</f>
        <v>46230</v>
      </c>
      <c r="C125" s="20" t="str">
        <f t="shared" si="1"/>
        <v>Mon</v>
      </c>
      <c r="D125" s="20" t="str">
        <f>'1 - Staff Calendar View'!$B$55</f>
        <v>Caulfield Drop-in</v>
      </c>
      <c r="E125" s="20" t="str">
        <f>VLOOKUP(D125,'1 - Staff Calendar View'!$I$49:$J$51,2,FALSE())</f>
        <v>10:40AM-2:20PM</v>
      </c>
      <c r="F125" s="20" t="str">
        <f>'1 - Staff Calendar View'!C$56</f>
        <v/>
      </c>
      <c r="G125" s="20" t="str">
        <f>IF('1 - Staff Calendar View'!C$55="-","-",'1 - Staff Calendar View'!C$55)</f>
        <v/>
      </c>
      <c r="H125" s="20" t="str">
        <f t="shared" si="2"/>
        <v>#REF!</v>
      </c>
    </row>
    <row r="126" ht="15.75" customHeight="1">
      <c r="A126" s="20" t="str">
        <f>'1 - Staff Calendar View'!$A$52</f>
        <v>Wk 14</v>
      </c>
      <c r="B126" s="22">
        <f>'1 - Staff Calendar View'!C$51</f>
        <v>46230</v>
      </c>
      <c r="C126" s="20" t="str">
        <f t="shared" si="1"/>
        <v>Mon</v>
      </c>
      <c r="D126" s="20" t="str">
        <f t="shared" ref="D126:D127" si="33">#REF!</f>
        <v>#REF!</v>
      </c>
      <c r="E126" s="20" t="str">
        <f>VLOOKUP(D126,'1 - Staff Calendar View'!$I$49:$J$51,2,FALSE())</f>
        <v>#REF!</v>
      </c>
      <c r="F126" s="20" t="str">
        <f t="shared" ref="F126:F127" si="34">#REF!</f>
        <v>#REF!</v>
      </c>
      <c r="G126" s="20" t="str">
        <f t="shared" ref="G126:G127" si="35">IF(#REF!="-","-",#REF!)</f>
        <v>#REF!</v>
      </c>
      <c r="H126" s="20" t="str">
        <f t="shared" si="2"/>
        <v>#REF!</v>
      </c>
    </row>
    <row r="127" ht="15.75" customHeight="1">
      <c r="A127" s="20" t="str">
        <f>'1 - Staff Calendar View'!$A$52</f>
        <v>Wk 14</v>
      </c>
      <c r="B127" s="22">
        <f>'1 - Staff Calendar View'!C$51</f>
        <v>46230</v>
      </c>
      <c r="C127" s="20" t="str">
        <f t="shared" si="1"/>
        <v>Mon</v>
      </c>
      <c r="D127" s="20" t="str">
        <f t="shared" si="33"/>
        <v>#REF!</v>
      </c>
      <c r="E127" s="20" t="str">
        <f>VLOOKUP(D127,'1 - Staff Calendar View'!$I$49:$J$51,2,FALSE())</f>
        <v>#REF!</v>
      </c>
      <c r="F127" s="20" t="str">
        <f t="shared" si="34"/>
        <v>#REF!</v>
      </c>
      <c r="G127" s="20" t="str">
        <f t="shared" si="35"/>
        <v>#REF!</v>
      </c>
      <c r="H127" s="20" t="str">
        <f t="shared" si="2"/>
        <v>#REF!</v>
      </c>
    </row>
    <row r="128" ht="15.75" customHeight="1">
      <c r="A128" s="20" t="str">
        <f>'1 - Staff Calendar View'!$A$52</f>
        <v>Wk 14</v>
      </c>
      <c r="B128" s="22">
        <f>'1 - Staff Calendar View'!C$51</f>
        <v>46230</v>
      </c>
      <c r="C128" s="20" t="str">
        <f t="shared" si="1"/>
        <v>Mon</v>
      </c>
      <c r="D128" s="20" t="str">
        <f>'1 - Staff Calendar View'!$B$60</f>
        <v>In Person Session</v>
      </c>
      <c r="E128" s="20" t="str">
        <f>VLOOKUP(D128,'1 - Staff Calendar View'!$I$49:$J$51,2,FALSE())</f>
        <v>#N/A</v>
      </c>
      <c r="F128" s="20" t="str">
        <f>'1 - Staff Calendar View'!C$60</f>
        <v/>
      </c>
      <c r="G128" s="20" t="str">
        <f>IF('1 - Staff Calendar View'!C$61="-","-",'1 - Staff Calendar View'!C$61)</f>
        <v/>
      </c>
      <c r="H128" s="20" t="str">
        <f t="shared" si="2"/>
        <v>#REF!</v>
      </c>
    </row>
    <row r="129" ht="15.75" customHeight="1">
      <c r="A129" s="20" t="str">
        <f>'1 - Staff Calendar View'!$A$52</f>
        <v>Wk 14</v>
      </c>
      <c r="B129" s="22">
        <f>'1 - Staff Calendar View'!C$51</f>
        <v>46230</v>
      </c>
      <c r="C129" s="20" t="str">
        <f t="shared" si="1"/>
        <v>Mon</v>
      </c>
      <c r="D129" s="20" t="str">
        <f>'1 - Staff Calendar View'!$B$60</f>
        <v>In Person Session</v>
      </c>
      <c r="E129" s="20" t="str">
        <f>VLOOKUP(D129,'1 - Staff Calendar View'!$I$49:$J$51,2,FALSE())</f>
        <v>#N/A</v>
      </c>
      <c r="F129" s="20" t="str">
        <f>'1 - Staff Calendar View'!C$61</f>
        <v/>
      </c>
      <c r="G129" s="20" t="str">
        <f>IF('1 - Staff Calendar View'!C$60="-","-",'1 - Staff Calendar View'!C$60)</f>
        <v/>
      </c>
      <c r="H129" s="20" t="str">
        <f t="shared" si="2"/>
        <v>#REF!</v>
      </c>
    </row>
    <row r="130" ht="15.75" customHeight="1">
      <c r="A130" s="20" t="str">
        <f>'1 - Staff Calendar View'!$A$52</f>
        <v>Wk 14</v>
      </c>
      <c r="B130" s="22">
        <f>'1 - Staff Calendar View'!D$51</f>
        <v>46231</v>
      </c>
      <c r="C130" s="20" t="str">
        <f t="shared" si="1"/>
        <v>Tue</v>
      </c>
      <c r="D130" s="20" t="str">
        <f>'1 - Staff Calendar View'!$B$52</f>
        <v>Clayton Drop-in</v>
      </c>
      <c r="E130" s="20" t="str">
        <f>VLOOKUP(D130,'1 - Staff Calendar View'!$I$49:$J$51,2,FALSE())</f>
        <v>#N/A</v>
      </c>
      <c r="F130" s="20" t="str">
        <f>'1 - Staff Calendar View'!D$52</f>
        <v>Sener</v>
      </c>
      <c r="G130" s="20" t="str">
        <f>IF('1 - Staff Calendar View'!D$53="-","-",'1 - Staff Calendar View'!D$53)</f>
        <v>Advay</v>
      </c>
      <c r="H130" s="20" t="str">
        <f t="shared" si="2"/>
        <v>#REF!</v>
      </c>
    </row>
    <row r="131" ht="15.75" customHeight="1">
      <c r="A131" s="20" t="str">
        <f>'1 - Staff Calendar View'!$A$52</f>
        <v>Wk 14</v>
      </c>
      <c r="B131" s="22">
        <f>'1 - Staff Calendar View'!D$51</f>
        <v>46231</v>
      </c>
      <c r="C131" s="20" t="str">
        <f t="shared" si="1"/>
        <v>Tue</v>
      </c>
      <c r="D131" s="20" t="str">
        <f>'1 - Staff Calendar View'!$B$52</f>
        <v>Clayton Drop-in</v>
      </c>
      <c r="E131" s="20" t="str">
        <f>VLOOKUP(D131,'1 - Staff Calendar View'!$I$49:$J$51,2,FALSE())</f>
        <v>#N/A</v>
      </c>
      <c r="F131" s="20" t="str">
        <f>'1 - Staff Calendar View'!D$53</f>
        <v>Advay</v>
      </c>
      <c r="G131" s="20" t="str">
        <f>IF('1 - Staff Calendar View'!D$52="-","-",'1 - Staff Calendar View'!D$52)</f>
        <v>Sener</v>
      </c>
      <c r="H131" s="20" t="str">
        <f t="shared" si="2"/>
        <v>#REF!</v>
      </c>
    </row>
    <row r="132" ht="15.75" customHeight="1">
      <c r="A132" s="20" t="str">
        <f>'1 - Staff Calendar View'!$A$52</f>
        <v>Wk 14</v>
      </c>
      <c r="B132" s="22">
        <f>'1 - Staff Calendar View'!D$51</f>
        <v>46231</v>
      </c>
      <c r="C132" s="20" t="str">
        <f t="shared" si="1"/>
        <v>Tue</v>
      </c>
      <c r="D132" s="20" t="str">
        <f>'1 - Staff Calendar View'!$B$55</f>
        <v>Caulfield Drop-in</v>
      </c>
      <c r="E132" s="20" t="str">
        <f>VLOOKUP(D132,'1 - Staff Calendar View'!$I$49:$J$51,2,FALSE())</f>
        <v>10:40AM-2:20PM</v>
      </c>
      <c r="F132" s="20" t="str">
        <f>#REF!</f>
        <v>#REF!</v>
      </c>
      <c r="G132" s="20" t="str">
        <f>IF('1 - Staff Calendar View'!D$56="-","-",'1 - Staff Calendar View'!D$56)</f>
        <v>Jaemin</v>
      </c>
      <c r="H132" s="20" t="str">
        <f t="shared" si="2"/>
        <v>#REF!</v>
      </c>
    </row>
    <row r="133" ht="15.75" customHeight="1">
      <c r="A133" s="20" t="str">
        <f>'1 - Staff Calendar View'!$A$52</f>
        <v>Wk 14</v>
      </c>
      <c r="B133" s="22">
        <f>'1 - Staff Calendar View'!D$51</f>
        <v>46231</v>
      </c>
      <c r="C133" s="20" t="str">
        <f t="shared" si="1"/>
        <v>Tue</v>
      </c>
      <c r="D133" s="20" t="str">
        <f>'1 - Staff Calendar View'!$B$55</f>
        <v>Caulfield Drop-in</v>
      </c>
      <c r="E133" s="20" t="str">
        <f>VLOOKUP(D133,'1 - Staff Calendar View'!$I$49:$J$51,2,FALSE())</f>
        <v>10:40AM-2:20PM</v>
      </c>
      <c r="F133" s="20" t="str">
        <f>'1 - Staff Calendar View'!D$56</f>
        <v>Jaemin</v>
      </c>
      <c r="G133" s="20" t="str">
        <f>IF(#REF!="-","-",#REF!)</f>
        <v>#REF!</v>
      </c>
      <c r="H133" s="20" t="str">
        <f t="shared" si="2"/>
        <v>#REF!</v>
      </c>
    </row>
    <row r="134" ht="15.75" customHeight="1">
      <c r="A134" s="20" t="str">
        <f>'1 - Staff Calendar View'!$A$52</f>
        <v>Wk 14</v>
      </c>
      <c r="B134" s="22">
        <f>'1 - Staff Calendar View'!D$51</f>
        <v>46231</v>
      </c>
      <c r="C134" s="20" t="str">
        <f t="shared" si="1"/>
        <v>Tue</v>
      </c>
      <c r="D134" s="20" t="str">
        <f t="shared" ref="D134:D135" si="36">#REF!</f>
        <v>#REF!</v>
      </c>
      <c r="E134" s="20" t="str">
        <f>VLOOKUP(D134,'1 - Staff Calendar View'!$I$49:$J$51,2,FALSE())</f>
        <v>#REF!</v>
      </c>
      <c r="F134" s="20" t="str">
        <f t="shared" ref="F134:F135" si="37">#REF!</f>
        <v>#REF!</v>
      </c>
      <c r="G134" s="20" t="str">
        <f t="shared" ref="G134:G135" si="38">IF(#REF!="-","-",#REF!)</f>
        <v>#REF!</v>
      </c>
      <c r="H134" s="20" t="str">
        <f t="shared" si="2"/>
        <v>#REF!</v>
      </c>
    </row>
    <row r="135" ht="15.75" customHeight="1">
      <c r="A135" s="20" t="str">
        <f>'1 - Staff Calendar View'!$A$52</f>
        <v>Wk 14</v>
      </c>
      <c r="B135" s="22">
        <f>'1 - Staff Calendar View'!D$51</f>
        <v>46231</v>
      </c>
      <c r="C135" s="20" t="str">
        <f t="shared" si="1"/>
        <v>Tue</v>
      </c>
      <c r="D135" s="20" t="str">
        <f t="shared" si="36"/>
        <v>#REF!</v>
      </c>
      <c r="E135" s="20" t="str">
        <f>VLOOKUP(D135,'1 - Staff Calendar View'!$I$49:$J$51,2,FALSE())</f>
        <v>#REF!</v>
      </c>
      <c r="F135" s="20" t="str">
        <f t="shared" si="37"/>
        <v>#REF!</v>
      </c>
      <c r="G135" s="20" t="str">
        <f t="shared" si="38"/>
        <v>#REF!</v>
      </c>
      <c r="H135" s="20" t="str">
        <f t="shared" si="2"/>
        <v>#REF!</v>
      </c>
    </row>
    <row r="136" ht="15.75" customHeight="1">
      <c r="A136" s="20" t="str">
        <f>'1 - Staff Calendar View'!$A$52</f>
        <v>Wk 14</v>
      </c>
      <c r="B136" s="22">
        <f>'1 - Staff Calendar View'!D$51</f>
        <v>46231</v>
      </c>
      <c r="C136" s="20" t="str">
        <f t="shared" si="1"/>
        <v>Tue</v>
      </c>
      <c r="D136" s="20" t="str">
        <f>'1 - Staff Calendar View'!$B$60</f>
        <v>In Person Session</v>
      </c>
      <c r="E136" s="20" t="str">
        <f>VLOOKUP(D136,'1 - Staff Calendar View'!$I$49:$J$51,2,FALSE())</f>
        <v>#N/A</v>
      </c>
      <c r="F136" s="20" t="str">
        <f>'1 - Staff Calendar View'!D$60</f>
        <v/>
      </c>
      <c r="G136" s="20" t="str">
        <f>IF('1 - Staff Calendar View'!D$61="-","-",'1 - Staff Calendar View'!D$61)</f>
        <v/>
      </c>
      <c r="H136" s="20" t="str">
        <f t="shared" si="2"/>
        <v>#REF!</v>
      </c>
    </row>
    <row r="137" ht="15.75" customHeight="1">
      <c r="A137" s="20" t="str">
        <f>'1 - Staff Calendar View'!$A$52</f>
        <v>Wk 14</v>
      </c>
      <c r="B137" s="22">
        <f>'1 - Staff Calendar View'!D$51</f>
        <v>46231</v>
      </c>
      <c r="C137" s="20" t="str">
        <f t="shared" si="1"/>
        <v>Tue</v>
      </c>
      <c r="D137" s="20" t="str">
        <f>'1 - Staff Calendar View'!$B$60</f>
        <v>In Person Session</v>
      </c>
      <c r="E137" s="20" t="str">
        <f>VLOOKUP(D137,'1 - Staff Calendar View'!$I$49:$J$51,2,FALSE())</f>
        <v>#N/A</v>
      </c>
      <c r="F137" s="20" t="str">
        <f>'1 - Staff Calendar View'!D$61</f>
        <v/>
      </c>
      <c r="G137" s="20" t="str">
        <f>IF('1 - Staff Calendar View'!D$60="-","-",'1 - Staff Calendar View'!D$60)</f>
        <v/>
      </c>
      <c r="H137" s="20" t="str">
        <f t="shared" si="2"/>
        <v>#REF!</v>
      </c>
    </row>
    <row r="138" ht="15.75" customHeight="1">
      <c r="A138" s="20" t="str">
        <f>'1 - Staff Calendar View'!$A$52</f>
        <v>Wk 14</v>
      </c>
      <c r="B138" s="22">
        <f>'1 - Staff Calendar View'!E$51</f>
        <v>46232</v>
      </c>
      <c r="C138" s="20" t="str">
        <f t="shared" si="1"/>
        <v>Wed</v>
      </c>
      <c r="D138" s="20" t="str">
        <f>'1 - Staff Calendar View'!$B$52</f>
        <v>Clayton Drop-in</v>
      </c>
      <c r="E138" s="20" t="str">
        <f>VLOOKUP(D138,'1 - Staff Calendar View'!$I$49:$J$51,2,FALSE())</f>
        <v>#N/A</v>
      </c>
      <c r="F138" s="20" t="str">
        <f>'1 - Staff Calendar View'!E$52</f>
        <v>Yunsoo</v>
      </c>
      <c r="G138" s="20" t="str">
        <f>IF('1 - Staff Calendar View'!E$53="-","-",'1 - Staff Calendar View'!E$53)</f>
        <v>Sener</v>
      </c>
      <c r="H138" s="20" t="str">
        <f t="shared" si="2"/>
        <v>#REF!</v>
      </c>
    </row>
    <row r="139" ht="15.75" customHeight="1">
      <c r="A139" s="20" t="str">
        <f>'1 - Staff Calendar View'!$A$52</f>
        <v>Wk 14</v>
      </c>
      <c r="B139" s="22">
        <f>'1 - Staff Calendar View'!E$51</f>
        <v>46232</v>
      </c>
      <c r="C139" s="20" t="str">
        <f t="shared" si="1"/>
        <v>Wed</v>
      </c>
      <c r="D139" s="20" t="str">
        <f>'1 - Staff Calendar View'!$B$52</f>
        <v>Clayton Drop-in</v>
      </c>
      <c r="E139" s="20" t="str">
        <f>VLOOKUP(D139,'1 - Staff Calendar View'!$I$49:$J$51,2,FALSE())</f>
        <v>#N/A</v>
      </c>
      <c r="F139" s="20" t="str">
        <f>'1 - Staff Calendar View'!E$53</f>
        <v>Sener</v>
      </c>
      <c r="G139" s="20" t="str">
        <f>IF('1 - Staff Calendar View'!E$52="-","-",'1 - Staff Calendar View'!E$52)</f>
        <v>Yunsoo</v>
      </c>
      <c r="H139" s="20" t="str">
        <f t="shared" si="2"/>
        <v>#REF!</v>
      </c>
    </row>
    <row r="140" ht="15.75" customHeight="1">
      <c r="A140" s="20" t="str">
        <f>'1 - Staff Calendar View'!$A$52</f>
        <v>Wk 14</v>
      </c>
      <c r="B140" s="22">
        <f>'1 - Staff Calendar View'!E$51</f>
        <v>46232</v>
      </c>
      <c r="C140" s="20" t="str">
        <f t="shared" si="1"/>
        <v>Wed</v>
      </c>
      <c r="D140" s="20" t="str">
        <f>'1 - Staff Calendar View'!$B$55</f>
        <v>Caulfield Drop-in</v>
      </c>
      <c r="E140" s="20" t="str">
        <f>VLOOKUP(D140,'1 - Staff Calendar View'!$I$49:$J$51,2,FALSE())</f>
        <v>10:40AM-2:20PM</v>
      </c>
      <c r="F140" s="20" t="str">
        <f>'1 - Staff Calendar View'!E$55</f>
        <v>Jaemin</v>
      </c>
      <c r="G140" s="20" t="str">
        <f>IF('1 - Staff Calendar View'!E$56="-","-",'1 - Staff Calendar View'!E$56)</f>
        <v>Ekachit</v>
      </c>
      <c r="H140" s="20" t="str">
        <f t="shared" si="2"/>
        <v>#REF!</v>
      </c>
    </row>
    <row r="141" ht="15.75" customHeight="1">
      <c r="A141" s="20" t="str">
        <f>'1 - Staff Calendar View'!$A$52</f>
        <v>Wk 14</v>
      </c>
      <c r="B141" s="22">
        <f>'1 - Staff Calendar View'!E$51</f>
        <v>46232</v>
      </c>
      <c r="C141" s="20" t="str">
        <f t="shared" si="1"/>
        <v>Wed</v>
      </c>
      <c r="D141" s="20" t="str">
        <f>'1 - Staff Calendar View'!$B$55</f>
        <v>Caulfield Drop-in</v>
      </c>
      <c r="E141" s="20" t="str">
        <f>VLOOKUP(D141,'1 - Staff Calendar View'!$I$49:$J$51,2,FALSE())</f>
        <v>10:40AM-2:20PM</v>
      </c>
      <c r="F141" s="20" t="str">
        <f>'1 - Staff Calendar View'!E$56</f>
        <v>Ekachit</v>
      </c>
      <c r="G141" s="20" t="str">
        <f>IF('1 - Staff Calendar View'!E$55="-","-",'1 - Staff Calendar View'!E$55)</f>
        <v>Jaemin</v>
      </c>
      <c r="H141" s="20" t="str">
        <f t="shared" si="2"/>
        <v>#REF!</v>
      </c>
    </row>
    <row r="142" ht="15.75" customHeight="1">
      <c r="A142" s="20" t="str">
        <f>'1 - Staff Calendar View'!$A$52</f>
        <v>Wk 14</v>
      </c>
      <c r="B142" s="22">
        <f>'1 - Staff Calendar View'!E$51</f>
        <v>46232</v>
      </c>
      <c r="C142" s="20" t="str">
        <f t="shared" si="1"/>
        <v>Wed</v>
      </c>
      <c r="D142" s="20" t="str">
        <f t="shared" ref="D142:D143" si="39">#REF!</f>
        <v>#REF!</v>
      </c>
      <c r="E142" s="20" t="str">
        <f>VLOOKUP(D142,'1 - Staff Calendar View'!$I$49:$J$51,2,FALSE())</f>
        <v>#REF!</v>
      </c>
      <c r="F142" s="20" t="str">
        <f t="shared" ref="F142:F143" si="40">#REF!</f>
        <v>#REF!</v>
      </c>
      <c r="G142" s="20" t="str">
        <f t="shared" ref="G142:G143" si="41">IF(#REF!="-","-",#REF!)</f>
        <v>#REF!</v>
      </c>
      <c r="H142" s="20" t="str">
        <f t="shared" si="2"/>
        <v>#REF!</v>
      </c>
    </row>
    <row r="143" ht="15.75" customHeight="1">
      <c r="A143" s="20" t="str">
        <f>'1 - Staff Calendar View'!$A$52</f>
        <v>Wk 14</v>
      </c>
      <c r="B143" s="22">
        <f>'1 - Staff Calendar View'!E$51</f>
        <v>46232</v>
      </c>
      <c r="C143" s="20" t="str">
        <f t="shared" si="1"/>
        <v>Wed</v>
      </c>
      <c r="D143" s="20" t="str">
        <f t="shared" si="39"/>
        <v>#REF!</v>
      </c>
      <c r="E143" s="20" t="str">
        <f>VLOOKUP(D143,'1 - Staff Calendar View'!$I$49:$J$51,2,FALSE())</f>
        <v>#REF!</v>
      </c>
      <c r="F143" s="20" t="str">
        <f t="shared" si="40"/>
        <v>#REF!</v>
      </c>
      <c r="G143" s="20" t="str">
        <f t="shared" si="41"/>
        <v>#REF!</v>
      </c>
      <c r="H143" s="20" t="str">
        <f t="shared" si="2"/>
        <v>#REF!</v>
      </c>
    </row>
    <row r="144" ht="15.75" customHeight="1">
      <c r="A144" s="20" t="str">
        <f>'1 - Staff Calendar View'!$A$52</f>
        <v>Wk 14</v>
      </c>
      <c r="B144" s="22">
        <f>'1 - Staff Calendar View'!E$51</f>
        <v>46232</v>
      </c>
      <c r="C144" s="20" t="str">
        <f t="shared" si="1"/>
        <v>Wed</v>
      </c>
      <c r="D144" s="20" t="str">
        <f>'1 - Staff Calendar View'!$B$60</f>
        <v>In Person Session</v>
      </c>
      <c r="E144" s="20" t="str">
        <f>VLOOKUP(D144,'1 - Staff Calendar View'!$I$49:$J$51,2,FALSE())</f>
        <v>#N/A</v>
      </c>
      <c r="F144" s="20" t="str">
        <f>'1 - Staff Calendar View'!E$60</f>
        <v/>
      </c>
      <c r="G144" s="20" t="str">
        <f>IF('1 - Staff Calendar View'!E$61="-","-",'1 - Staff Calendar View'!E$61)</f>
        <v/>
      </c>
      <c r="H144" s="20" t="str">
        <f t="shared" si="2"/>
        <v>#REF!</v>
      </c>
    </row>
    <row r="145" ht="15.75" customHeight="1">
      <c r="A145" s="20" t="str">
        <f>'1 - Staff Calendar View'!$A$52</f>
        <v>Wk 14</v>
      </c>
      <c r="B145" s="22">
        <f>'1 - Staff Calendar View'!E$51</f>
        <v>46232</v>
      </c>
      <c r="C145" s="20" t="str">
        <f t="shared" si="1"/>
        <v>Wed</v>
      </c>
      <c r="D145" s="20" t="str">
        <f>'1 - Staff Calendar View'!$B$60</f>
        <v>In Person Session</v>
      </c>
      <c r="E145" s="20" t="str">
        <f>VLOOKUP(D145,'1 - Staff Calendar View'!$I$49:$J$51,2,FALSE())</f>
        <v>#N/A</v>
      </c>
      <c r="F145" s="20" t="str">
        <f>'1 - Staff Calendar View'!E$61</f>
        <v/>
      </c>
      <c r="G145" s="20" t="str">
        <f>IF('1 - Staff Calendar View'!E$60="-","-",'1 - Staff Calendar View'!E$60)</f>
        <v/>
      </c>
      <c r="H145" s="20" t="str">
        <f t="shared" si="2"/>
        <v>#REF!</v>
      </c>
    </row>
    <row r="146" ht="15.75" customHeight="1">
      <c r="A146" s="20" t="str">
        <f>'1 - Staff Calendar View'!$A$52</f>
        <v>Wk 14</v>
      </c>
      <c r="B146" s="22">
        <f>'1 - Staff Calendar View'!F$51</f>
        <v>46233</v>
      </c>
      <c r="C146" s="20" t="str">
        <f t="shared" si="1"/>
        <v>Thu</v>
      </c>
      <c r="D146" s="20" t="str">
        <f>'1 - Staff Calendar View'!$B$52</f>
        <v>Clayton Drop-in</v>
      </c>
      <c r="E146" s="20" t="str">
        <f>VLOOKUP(D146,'1 - Staff Calendar View'!$I$49:$J$51,2,FALSE())</f>
        <v>#N/A</v>
      </c>
      <c r="F146" s="20" t="str">
        <f>'1 - Staff Calendar View'!F$52</f>
        <v>Sener</v>
      </c>
      <c r="G146" s="20" t="str">
        <f>IF('1 - Staff Calendar View'!F$53="-","-",'1 - Staff Calendar View'!F$53)</f>
        <v>Omila</v>
      </c>
      <c r="H146" s="20" t="str">
        <f t="shared" si="2"/>
        <v>#REF!</v>
      </c>
    </row>
    <row r="147" ht="15.75" customHeight="1">
      <c r="A147" s="20" t="str">
        <f>'1 - Staff Calendar View'!$A$52</f>
        <v>Wk 14</v>
      </c>
      <c r="B147" s="22">
        <f>'1 - Staff Calendar View'!F$51</f>
        <v>46233</v>
      </c>
      <c r="C147" s="20" t="str">
        <f t="shared" si="1"/>
        <v>Thu</v>
      </c>
      <c r="D147" s="20" t="str">
        <f>'1 - Staff Calendar View'!$B$52</f>
        <v>Clayton Drop-in</v>
      </c>
      <c r="E147" s="20" t="str">
        <f>VLOOKUP(D147,'1 - Staff Calendar View'!$I$49:$J$51,2,FALSE())</f>
        <v>#N/A</v>
      </c>
      <c r="F147" s="20" t="str">
        <f>'1 - Staff Calendar View'!F$53</f>
        <v>Omila</v>
      </c>
      <c r="G147" s="20" t="str">
        <f>IF('1 - Staff Calendar View'!F$52="-","-",'1 - Staff Calendar View'!F$52)</f>
        <v>Sener</v>
      </c>
      <c r="H147" s="20" t="str">
        <f t="shared" si="2"/>
        <v>#REF!</v>
      </c>
    </row>
    <row r="148" ht="15.75" customHeight="1">
      <c r="A148" s="20" t="str">
        <f>'1 - Staff Calendar View'!$A$52</f>
        <v>Wk 14</v>
      </c>
      <c r="B148" s="22">
        <f>'1 - Staff Calendar View'!F$51</f>
        <v>46233</v>
      </c>
      <c r="C148" s="20" t="str">
        <f t="shared" si="1"/>
        <v>Thu</v>
      </c>
      <c r="D148" s="20" t="str">
        <f>'1 - Staff Calendar View'!$B$55</f>
        <v>Caulfield Drop-in</v>
      </c>
      <c r="E148" s="20" t="str">
        <f>VLOOKUP(D148,'1 - Staff Calendar View'!$I$49:$J$51,2,FALSE())</f>
        <v>10:40AM-2:20PM</v>
      </c>
      <c r="F148" s="20" t="str">
        <f>#REF!</f>
        <v>#REF!</v>
      </c>
      <c r="G148" s="20" t="str">
        <f>IF('1 - Staff Calendar View'!F$56="-","-",'1 - Staff Calendar View'!F$56)</f>
        <v>Ekachit</v>
      </c>
      <c r="H148" s="20" t="str">
        <f t="shared" si="2"/>
        <v>#REF!</v>
      </c>
    </row>
    <row r="149" ht="15.75" customHeight="1">
      <c r="A149" s="20" t="str">
        <f>'1 - Staff Calendar View'!$A$52</f>
        <v>Wk 14</v>
      </c>
      <c r="B149" s="22">
        <f>'1 - Staff Calendar View'!F$51</f>
        <v>46233</v>
      </c>
      <c r="C149" s="20" t="str">
        <f t="shared" si="1"/>
        <v>Thu</v>
      </c>
      <c r="D149" s="20" t="str">
        <f>'1 - Staff Calendar View'!$B$55</f>
        <v>Caulfield Drop-in</v>
      </c>
      <c r="E149" s="20" t="str">
        <f>VLOOKUP(D149,'1 - Staff Calendar View'!$I$49:$J$51,2,FALSE())</f>
        <v>10:40AM-2:20PM</v>
      </c>
      <c r="F149" s="20" t="str">
        <f>'1 - Staff Calendar View'!F$56</f>
        <v>Ekachit</v>
      </c>
      <c r="G149" s="20" t="str">
        <f>IF(#REF!="-","-",#REF!)</f>
        <v>#REF!</v>
      </c>
      <c r="H149" s="20" t="str">
        <f t="shared" si="2"/>
        <v>#REF!</v>
      </c>
    </row>
    <row r="150" ht="15.75" customHeight="1">
      <c r="A150" s="20" t="str">
        <f>'1 - Staff Calendar View'!$A$52</f>
        <v>Wk 14</v>
      </c>
      <c r="B150" s="22">
        <f>'1 - Staff Calendar View'!F$51</f>
        <v>46233</v>
      </c>
      <c r="C150" s="20" t="str">
        <f t="shared" si="1"/>
        <v>Thu</v>
      </c>
      <c r="D150" s="20" t="str">
        <f t="shared" ref="D150:D151" si="42">#REF!</f>
        <v>#REF!</v>
      </c>
      <c r="E150" s="20" t="str">
        <f>VLOOKUP(D150,'1 - Staff Calendar View'!$I$49:$J$51,2,FALSE())</f>
        <v>#REF!</v>
      </c>
      <c r="F150" s="20" t="str">
        <f t="shared" ref="F150:F151" si="43">#REF!</f>
        <v>#REF!</v>
      </c>
      <c r="G150" s="20" t="str">
        <f t="shared" ref="G150:G151" si="44">IF(#REF!="-","-",#REF!)</f>
        <v>#REF!</v>
      </c>
      <c r="H150" s="20" t="str">
        <f t="shared" si="2"/>
        <v>#REF!</v>
      </c>
    </row>
    <row r="151" ht="15.75" customHeight="1">
      <c r="A151" s="20" t="str">
        <f>'1 - Staff Calendar View'!$A$52</f>
        <v>Wk 14</v>
      </c>
      <c r="B151" s="22">
        <f>'1 - Staff Calendar View'!F$51</f>
        <v>46233</v>
      </c>
      <c r="C151" s="20" t="str">
        <f t="shared" si="1"/>
        <v>Thu</v>
      </c>
      <c r="D151" s="20" t="str">
        <f t="shared" si="42"/>
        <v>#REF!</v>
      </c>
      <c r="E151" s="20" t="str">
        <f>VLOOKUP(D151,'1 - Staff Calendar View'!$I$49:$J$51,2,FALSE())</f>
        <v>#REF!</v>
      </c>
      <c r="F151" s="20" t="str">
        <f t="shared" si="43"/>
        <v>#REF!</v>
      </c>
      <c r="G151" s="20" t="str">
        <f t="shared" si="44"/>
        <v>#REF!</v>
      </c>
      <c r="H151" s="20" t="str">
        <f t="shared" si="2"/>
        <v>#REF!</v>
      </c>
    </row>
    <row r="152" ht="15.75" customHeight="1">
      <c r="A152" s="20" t="str">
        <f>'1 - Staff Calendar View'!$A$52</f>
        <v>Wk 14</v>
      </c>
      <c r="B152" s="22">
        <f>'1 - Staff Calendar View'!F$51</f>
        <v>46233</v>
      </c>
      <c r="C152" s="20" t="str">
        <f t="shared" si="1"/>
        <v>Thu</v>
      </c>
      <c r="D152" s="20" t="str">
        <f>'1 - Staff Calendar View'!$B$60</f>
        <v>In Person Session</v>
      </c>
      <c r="E152" s="20" t="str">
        <f>VLOOKUP(D152,'1 - Staff Calendar View'!$I$49:$J$51,2,FALSE())</f>
        <v>#N/A</v>
      </c>
      <c r="F152" s="20" t="str">
        <f>'1 - Staff Calendar View'!F$60</f>
        <v/>
      </c>
      <c r="G152" s="20" t="str">
        <f>IF('1 - Staff Calendar View'!F$61="-","-",'1 - Staff Calendar View'!F$61)</f>
        <v/>
      </c>
      <c r="H152" s="20" t="str">
        <f t="shared" si="2"/>
        <v>#REF!</v>
      </c>
    </row>
    <row r="153" ht="15.75" customHeight="1">
      <c r="A153" s="20" t="str">
        <f>'1 - Staff Calendar View'!$A$52</f>
        <v>Wk 14</v>
      </c>
      <c r="B153" s="22">
        <f>'1 - Staff Calendar View'!F$51</f>
        <v>46233</v>
      </c>
      <c r="C153" s="20" t="str">
        <f t="shared" si="1"/>
        <v>Thu</v>
      </c>
      <c r="D153" s="20" t="str">
        <f>'1 - Staff Calendar View'!$B$60</f>
        <v>In Person Session</v>
      </c>
      <c r="E153" s="20" t="str">
        <f>VLOOKUP(D153,'1 - Staff Calendar View'!$I$49:$J$51,2,FALSE())</f>
        <v>#N/A</v>
      </c>
      <c r="F153" s="20" t="str">
        <f>'1 - Staff Calendar View'!F$61</f>
        <v/>
      </c>
      <c r="G153" s="20" t="str">
        <f>IF('1 - Staff Calendar View'!F$60="-","-",'1 - Staff Calendar View'!F$60)</f>
        <v/>
      </c>
      <c r="H153" s="20" t="str">
        <f t="shared" si="2"/>
        <v>#REF!</v>
      </c>
    </row>
    <row r="154" ht="15.75" customHeight="1">
      <c r="A154" s="20" t="str">
        <f>'1 - Staff Calendar View'!$A$52</f>
        <v>Wk 14</v>
      </c>
      <c r="B154" s="22">
        <f>'1 - Staff Calendar View'!G$51</f>
        <v>46234</v>
      </c>
      <c r="C154" s="20" t="str">
        <f t="shared" si="1"/>
        <v>Fri</v>
      </c>
      <c r="D154" s="20" t="str">
        <f>'1 - Staff Calendar View'!$B$52</f>
        <v>Clayton Drop-in</v>
      </c>
      <c r="E154" s="20" t="str">
        <f>VLOOKUP(D154,'1 - Staff Calendar View'!$I$49:$J$51,2,FALSE())</f>
        <v>#N/A</v>
      </c>
      <c r="F154" s="20" t="str">
        <f>'1 - Staff Calendar View'!G$52</f>
        <v/>
      </c>
      <c r="G154" s="20" t="str">
        <f>IF('1 - Staff Calendar View'!G$53="-","-",'1 - Staff Calendar View'!G$53)</f>
        <v/>
      </c>
      <c r="H154" s="20" t="str">
        <f t="shared" si="2"/>
        <v>#REF!</v>
      </c>
    </row>
    <row r="155" ht="15.75" customHeight="1">
      <c r="A155" s="20" t="str">
        <f>'1 - Staff Calendar View'!$A$52</f>
        <v>Wk 14</v>
      </c>
      <c r="B155" s="22">
        <f>'1 - Staff Calendar View'!G$51</f>
        <v>46234</v>
      </c>
      <c r="C155" s="20" t="str">
        <f t="shared" si="1"/>
        <v>Fri</v>
      </c>
      <c r="D155" s="20" t="str">
        <f>'1 - Staff Calendar View'!$B$52</f>
        <v>Clayton Drop-in</v>
      </c>
      <c r="E155" s="20" t="str">
        <f>VLOOKUP(D155,'1 - Staff Calendar View'!$I$49:$J$51,2,FALSE())</f>
        <v>#N/A</v>
      </c>
      <c r="F155" s="20" t="str">
        <f>'1 - Staff Calendar View'!G$53</f>
        <v/>
      </c>
      <c r="G155" s="20" t="str">
        <f>IF('1 - Staff Calendar View'!G$52="-","-",'1 - Staff Calendar View'!G$52)</f>
        <v/>
      </c>
      <c r="H155" s="20" t="str">
        <f t="shared" si="2"/>
        <v>#REF!</v>
      </c>
    </row>
    <row r="156" ht="15.75" customHeight="1">
      <c r="A156" s="20" t="str">
        <f>'1 - Staff Calendar View'!$A$52</f>
        <v>Wk 14</v>
      </c>
      <c r="B156" s="22">
        <f>'1 - Staff Calendar View'!G$51</f>
        <v>46234</v>
      </c>
      <c r="C156" s="20" t="str">
        <f t="shared" si="1"/>
        <v>Fri</v>
      </c>
      <c r="D156" s="20" t="str">
        <f>'1 - Staff Calendar View'!$B$55</f>
        <v>Caulfield Drop-in</v>
      </c>
      <c r="E156" s="20" t="str">
        <f>VLOOKUP(D156,'1 - Staff Calendar View'!$I$49:$J$51,2,FALSE())</f>
        <v>10:40AM-2:20PM</v>
      </c>
      <c r="F156" s="20" t="str">
        <f>'1 - Staff Calendar View'!G$55</f>
        <v/>
      </c>
      <c r="G156" s="20" t="str">
        <f>IF('1 - Staff Calendar View'!G$56="-","-",'1 - Staff Calendar View'!G$56)</f>
        <v/>
      </c>
      <c r="H156" s="20" t="str">
        <f t="shared" si="2"/>
        <v>#REF!</v>
      </c>
    </row>
    <row r="157" ht="15.75" customHeight="1">
      <c r="A157" s="20" t="str">
        <f>'1 - Staff Calendar View'!$A$52</f>
        <v>Wk 14</v>
      </c>
      <c r="B157" s="22">
        <f>'1 - Staff Calendar View'!G$51</f>
        <v>46234</v>
      </c>
      <c r="C157" s="20" t="str">
        <f t="shared" si="1"/>
        <v>Fri</v>
      </c>
      <c r="D157" s="20" t="str">
        <f>'1 - Staff Calendar View'!$B$55</f>
        <v>Caulfield Drop-in</v>
      </c>
      <c r="E157" s="20" t="str">
        <f>VLOOKUP(D157,'1 - Staff Calendar View'!$I$49:$J$51,2,FALSE())</f>
        <v>10:40AM-2:20PM</v>
      </c>
      <c r="F157" s="20" t="str">
        <f>'1 - Staff Calendar View'!G$56</f>
        <v/>
      </c>
      <c r="G157" s="20" t="str">
        <f>IF('1 - Staff Calendar View'!G$55="-","-",'1 - Staff Calendar View'!G$55)</f>
        <v/>
      </c>
      <c r="H157" s="20" t="str">
        <f t="shared" si="2"/>
        <v>#REF!</v>
      </c>
    </row>
    <row r="158" ht="15.75" customHeight="1">
      <c r="A158" s="20" t="str">
        <f>'1 - Staff Calendar View'!$A$52</f>
        <v>Wk 14</v>
      </c>
      <c r="B158" s="22">
        <f>'1 - Staff Calendar View'!G$51</f>
        <v>46234</v>
      </c>
      <c r="C158" s="20" t="str">
        <f t="shared" si="1"/>
        <v>Fri</v>
      </c>
      <c r="D158" s="20" t="str">
        <f t="shared" ref="D158:D159" si="45">#REF!</f>
        <v>#REF!</v>
      </c>
      <c r="E158" s="20" t="str">
        <f>VLOOKUP(D158,'1 - Staff Calendar View'!$I$49:$J$51,2,FALSE())</f>
        <v>#REF!</v>
      </c>
      <c r="F158" s="20" t="str">
        <f t="shared" ref="F158:F159" si="46">#REF!</f>
        <v>#REF!</v>
      </c>
      <c r="G158" s="20" t="str">
        <f t="shared" ref="G158:G159" si="47">IF(#REF!="-","-",#REF!)</f>
        <v>#REF!</v>
      </c>
      <c r="H158" s="20" t="str">
        <f t="shared" si="2"/>
        <v>#REF!</v>
      </c>
    </row>
    <row r="159" ht="15.75" customHeight="1">
      <c r="A159" s="20" t="str">
        <f>'1 - Staff Calendar View'!$A$52</f>
        <v>Wk 14</v>
      </c>
      <c r="B159" s="22">
        <f>'1 - Staff Calendar View'!G$51</f>
        <v>46234</v>
      </c>
      <c r="C159" s="20" t="str">
        <f t="shared" si="1"/>
        <v>Fri</v>
      </c>
      <c r="D159" s="20" t="str">
        <f t="shared" si="45"/>
        <v>#REF!</v>
      </c>
      <c r="E159" s="20" t="str">
        <f>VLOOKUP(D159,'1 - Staff Calendar View'!$I$49:$J$51,2,FALSE())</f>
        <v>#REF!</v>
      </c>
      <c r="F159" s="20" t="str">
        <f t="shared" si="46"/>
        <v>#REF!</v>
      </c>
      <c r="G159" s="20" t="str">
        <f t="shared" si="47"/>
        <v>#REF!</v>
      </c>
      <c r="H159" s="20" t="str">
        <f t="shared" si="2"/>
        <v>#REF!</v>
      </c>
    </row>
    <row r="160" ht="15.75" customHeight="1">
      <c r="A160" s="20" t="str">
        <f>'1 - Staff Calendar View'!$A$52</f>
        <v>Wk 14</v>
      </c>
      <c r="B160" s="22">
        <f>'1 - Staff Calendar View'!G$51</f>
        <v>46234</v>
      </c>
      <c r="C160" s="20" t="str">
        <f t="shared" si="1"/>
        <v>Fri</v>
      </c>
      <c r="D160" s="20" t="str">
        <f>'1 - Staff Calendar View'!$B$60</f>
        <v>In Person Session</v>
      </c>
      <c r="E160" s="20" t="str">
        <f>VLOOKUP(D160,'1 - Staff Calendar View'!$I$49:$J$51,2,FALSE())</f>
        <v>#N/A</v>
      </c>
      <c r="F160" s="20" t="str">
        <f>'1 - Staff Calendar View'!G$60</f>
        <v/>
      </c>
      <c r="G160" s="20" t="str">
        <f>IF('1 - Staff Calendar View'!G$61="-","-",'1 - Staff Calendar View'!G$61)</f>
        <v/>
      </c>
      <c r="H160" s="20" t="str">
        <f t="shared" si="2"/>
        <v>#REF!</v>
      </c>
    </row>
    <row r="161" ht="15.75" customHeight="1">
      <c r="A161" s="20" t="str">
        <f>'1 - Staff Calendar View'!$A$52</f>
        <v>Wk 14</v>
      </c>
      <c r="B161" s="22">
        <f>'1 - Staff Calendar View'!G$51</f>
        <v>46234</v>
      </c>
      <c r="C161" s="20" t="str">
        <f t="shared" si="1"/>
        <v>Fri</v>
      </c>
      <c r="D161" s="20" t="str">
        <f>'1 - Staff Calendar View'!$B$60</f>
        <v>In Person Session</v>
      </c>
      <c r="E161" s="20" t="str">
        <f>VLOOKUP(D161,'1 - Staff Calendar View'!$I$49:$J$51,2,FALSE())</f>
        <v>#N/A</v>
      </c>
      <c r="F161" s="20" t="str">
        <f>'1 - Staff Calendar View'!G$61</f>
        <v/>
      </c>
      <c r="G161" s="20" t="str">
        <f>IF('1 - Staff Calendar View'!G$60="-","-",'1 - Staff Calendar View'!G$60)</f>
        <v/>
      </c>
      <c r="H161" s="20" t="str">
        <f t="shared" si="2"/>
        <v>#REF!</v>
      </c>
    </row>
    <row r="162" ht="15.75" customHeight="1">
      <c r="A162" s="20" t="str">
        <f>'1 - Staff Calendar View'!$A$65</f>
        <v>Wk 15</v>
      </c>
      <c r="B162" s="22">
        <f>'1 - Staff Calendar View'!C$64</f>
        <v>46237</v>
      </c>
      <c r="C162" s="20" t="str">
        <f t="shared" si="1"/>
        <v>Mon</v>
      </c>
      <c r="D162" s="20" t="str">
        <f>'1 - Staff Calendar View'!$B$65</f>
        <v>Clayton Drop-in</v>
      </c>
      <c r="E162" s="20" t="str">
        <f>VLOOKUP(D162,'1 - Staff Calendar View'!$I$49:$J$51,2,FALSE())</f>
        <v>#N/A</v>
      </c>
      <c r="F162" s="20" t="str">
        <f>'1 - Staff Calendar View'!C$65</f>
        <v/>
      </c>
      <c r="G162" s="20" t="str">
        <f>IF('1 - Staff Calendar View'!C$67="-","-",'1 - Staff Calendar View'!C$67)</f>
        <v/>
      </c>
      <c r="H162" s="20" t="str">
        <f t="shared" si="2"/>
        <v>#REF!</v>
      </c>
    </row>
    <row r="163" ht="15.75" customHeight="1">
      <c r="A163" s="20" t="str">
        <f>'1 - Staff Calendar View'!$A$65</f>
        <v>Wk 15</v>
      </c>
      <c r="B163" s="22">
        <f>'1 - Staff Calendar View'!C$64</f>
        <v>46237</v>
      </c>
      <c r="C163" s="20" t="str">
        <f t="shared" si="1"/>
        <v>Mon</v>
      </c>
      <c r="D163" s="20" t="str">
        <f>'1 - Staff Calendar View'!$B$65</f>
        <v>Clayton Drop-in</v>
      </c>
      <c r="E163" s="20" t="str">
        <f>VLOOKUP(D163,'1 - Staff Calendar View'!$I$49:$J$51,2,FALSE())</f>
        <v>#N/A</v>
      </c>
      <c r="F163" s="20" t="str">
        <f>'1 - Staff Calendar View'!C$67</f>
        <v/>
      </c>
      <c r="G163" s="20" t="str">
        <f>IF('1 - Staff Calendar View'!C$65="-","-",'1 - Staff Calendar View'!C$65)</f>
        <v/>
      </c>
      <c r="H163" s="20" t="str">
        <f t="shared" si="2"/>
        <v>#REF!</v>
      </c>
    </row>
    <row r="164" ht="15.75" customHeight="1">
      <c r="A164" s="20" t="str">
        <f>'1 - Staff Calendar View'!$A$65</f>
        <v>Wk 15</v>
      </c>
      <c r="B164" s="22">
        <f>'1 - Staff Calendar View'!C$64</f>
        <v>46237</v>
      </c>
      <c r="C164" s="20" t="str">
        <f t="shared" si="1"/>
        <v>Mon</v>
      </c>
      <c r="D164" s="20" t="str">
        <f>'1 - Staff Calendar View'!$B$68</f>
        <v>Caulfield Drop-in</v>
      </c>
      <c r="E164" s="20" t="str">
        <f>VLOOKUP(D164,'1 - Staff Calendar View'!$I$49:$J$51,2,FALSE())</f>
        <v>10:40AM-2:20PM</v>
      </c>
      <c r="F164" s="20" t="str">
        <f>'1 - Staff Calendar View'!C$68</f>
        <v/>
      </c>
      <c r="G164" s="20" t="str">
        <f>IF('1 - Staff Calendar View'!C$70="-","-",'1 - Staff Calendar View'!C$70)</f>
        <v/>
      </c>
      <c r="H164" s="20" t="str">
        <f t="shared" si="2"/>
        <v>#REF!</v>
      </c>
    </row>
    <row r="165" ht="15.75" customHeight="1">
      <c r="A165" s="20" t="str">
        <f>'1 - Staff Calendar View'!$A$65</f>
        <v>Wk 15</v>
      </c>
      <c r="B165" s="22">
        <f>'1 - Staff Calendar View'!C$64</f>
        <v>46237</v>
      </c>
      <c r="C165" s="20" t="str">
        <f t="shared" si="1"/>
        <v>Mon</v>
      </c>
      <c r="D165" s="20" t="str">
        <f>'1 - Staff Calendar View'!$B$68</f>
        <v>Caulfield Drop-in</v>
      </c>
      <c r="E165" s="20" t="str">
        <f>VLOOKUP(D165,'1 - Staff Calendar View'!$I$49:$J$51,2,FALSE())</f>
        <v>10:40AM-2:20PM</v>
      </c>
      <c r="F165" s="20" t="str">
        <f>'1 - Staff Calendar View'!C$70</f>
        <v/>
      </c>
      <c r="G165" s="20" t="str">
        <f>IF('1 - Staff Calendar View'!C$68="-","-",'1 - Staff Calendar View'!C$68)</f>
        <v/>
      </c>
      <c r="H165" s="20" t="str">
        <f t="shared" si="2"/>
        <v>#REF!</v>
      </c>
    </row>
    <row r="166" ht="15.75" customHeight="1">
      <c r="A166" s="20" t="str">
        <f>'1 - Staff Calendar View'!$A$65</f>
        <v>Wk 15</v>
      </c>
      <c r="B166" s="22">
        <f>'1 - Staff Calendar View'!C$64</f>
        <v>46237</v>
      </c>
      <c r="C166" s="20" t="str">
        <f t="shared" si="1"/>
        <v>Mon</v>
      </c>
      <c r="D166" s="20" t="str">
        <f>'1 - Staff Calendar View'!$B$74</f>
        <v>Webinar Support</v>
      </c>
      <c r="E166" s="20" t="str">
        <f>VLOOKUP(D166,'1 - Staff Calendar View'!$I$49:$J$51,2,FALSE())</f>
        <v>#N/A</v>
      </c>
      <c r="F166" s="20" t="str">
        <f>'1 - Staff Calendar View'!C$74</f>
        <v/>
      </c>
      <c r="G166" s="20" t="str">
        <f>IF('1 - Staff Calendar View'!C$75="-","-",'1 - Staff Calendar View'!C$75)</f>
        <v/>
      </c>
      <c r="H166" s="20" t="str">
        <f t="shared" si="2"/>
        <v>#REF!</v>
      </c>
    </row>
    <row r="167" ht="15.75" customHeight="1">
      <c r="A167" s="20" t="str">
        <f>'1 - Staff Calendar View'!$A$65</f>
        <v>Wk 15</v>
      </c>
      <c r="B167" s="22">
        <f>'1 - Staff Calendar View'!C$64</f>
        <v>46237</v>
      </c>
      <c r="C167" s="20" t="str">
        <f t="shared" si="1"/>
        <v>Mon</v>
      </c>
      <c r="D167" s="20" t="str">
        <f>'1 - Staff Calendar View'!$B$74</f>
        <v>Webinar Support</v>
      </c>
      <c r="E167" s="20" t="str">
        <f>VLOOKUP(D167,'1 - Staff Calendar View'!$I$49:$J$51,2,FALSE())</f>
        <v>#N/A</v>
      </c>
      <c r="F167" s="20" t="str">
        <f>'1 - Staff Calendar View'!C$75</f>
        <v/>
      </c>
      <c r="G167" s="20" t="str">
        <f>IF('1 - Staff Calendar View'!C$74="-","-",'1 - Staff Calendar View'!C$74)</f>
        <v/>
      </c>
      <c r="H167" s="20" t="str">
        <f t="shared" si="2"/>
        <v>#REF!</v>
      </c>
    </row>
    <row r="168" ht="15.75" customHeight="1">
      <c r="A168" s="20" t="str">
        <f>'1 - Staff Calendar View'!$A$65</f>
        <v>Wk 15</v>
      </c>
      <c r="B168" s="22">
        <f>'1 - Staff Calendar View'!C$64</f>
        <v>46237</v>
      </c>
      <c r="C168" s="20" t="str">
        <f t="shared" si="1"/>
        <v>Mon</v>
      </c>
      <c r="D168" s="20" t="str">
        <f>'1 - Staff Calendar View'!$B$76</f>
        <v>In Person Session</v>
      </c>
      <c r="E168" s="20" t="str">
        <f>VLOOKUP(D168,'1 - Staff Calendar View'!$I$49:$J$51,2,FALSE())</f>
        <v>#N/A</v>
      </c>
      <c r="F168" s="20" t="str">
        <f>'1 - Staff Calendar View'!C$76</f>
        <v/>
      </c>
      <c r="G168" s="20" t="str">
        <f>IF('1 - Staff Calendar View'!C$77="-","-",'1 - Staff Calendar View'!C$77)</f>
        <v/>
      </c>
      <c r="H168" s="20" t="str">
        <f t="shared" si="2"/>
        <v>#REF!</v>
      </c>
    </row>
    <row r="169" ht="15.75" customHeight="1">
      <c r="A169" s="20" t="str">
        <f>'1 - Staff Calendar View'!$A$65</f>
        <v>Wk 15</v>
      </c>
      <c r="B169" s="22">
        <f>'1 - Staff Calendar View'!C$64</f>
        <v>46237</v>
      </c>
      <c r="C169" s="20" t="str">
        <f t="shared" si="1"/>
        <v>Mon</v>
      </c>
      <c r="D169" s="20" t="str">
        <f>'1 - Staff Calendar View'!$B$76</f>
        <v>In Person Session</v>
      </c>
      <c r="E169" s="20" t="str">
        <f>VLOOKUP(D169,'1 - Staff Calendar View'!$I$49:$J$51,2,FALSE())</f>
        <v>#N/A</v>
      </c>
      <c r="F169" s="20" t="str">
        <f>'1 - Staff Calendar View'!C$77</f>
        <v/>
      </c>
      <c r="G169" s="20" t="str">
        <f>IF('1 - Staff Calendar View'!C$76="-","-",'1 - Staff Calendar View'!C$76)</f>
        <v/>
      </c>
      <c r="H169" s="20" t="str">
        <f t="shared" si="2"/>
        <v>#REF!</v>
      </c>
    </row>
    <row r="170" ht="15.75" customHeight="1">
      <c r="A170" s="20" t="str">
        <f>'1 - Staff Calendar View'!$A$65</f>
        <v>Wk 15</v>
      </c>
      <c r="B170" s="22">
        <f>'1 - Staff Calendar View'!D$64</f>
        <v>46238</v>
      </c>
      <c r="C170" s="20" t="str">
        <f t="shared" si="1"/>
        <v>Tue</v>
      </c>
      <c r="D170" s="20" t="str">
        <f>'1 - Staff Calendar View'!$B$65</f>
        <v>Clayton Drop-in</v>
      </c>
      <c r="E170" s="20" t="str">
        <f>VLOOKUP(D170,'1 - Staff Calendar View'!$I$49:$J$51,2,FALSE())</f>
        <v>#N/A</v>
      </c>
      <c r="F170" s="20" t="str">
        <f>'1 - Staff Calendar View'!D$65</f>
        <v>Sener</v>
      </c>
      <c r="G170" s="20" t="str">
        <f>IF('1 - Staff Calendar View'!D$67="-","-",'1 - Staff Calendar View'!D$67)</f>
        <v>Grace</v>
      </c>
      <c r="H170" s="20" t="str">
        <f t="shared" si="2"/>
        <v>#REF!</v>
      </c>
    </row>
    <row r="171" ht="15.75" customHeight="1">
      <c r="A171" s="20" t="str">
        <f>'1 - Staff Calendar View'!$A$65</f>
        <v>Wk 15</v>
      </c>
      <c r="B171" s="22">
        <f>'1 - Staff Calendar View'!D$64</f>
        <v>46238</v>
      </c>
      <c r="C171" s="20" t="str">
        <f t="shared" si="1"/>
        <v>Tue</v>
      </c>
      <c r="D171" s="20" t="str">
        <f>'1 - Staff Calendar View'!$B$65</f>
        <v>Clayton Drop-in</v>
      </c>
      <c r="E171" s="20" t="str">
        <f>VLOOKUP(D171,'1 - Staff Calendar View'!$I$49:$J$51,2,FALSE())</f>
        <v>#N/A</v>
      </c>
      <c r="F171" s="20" t="str">
        <f>'1 - Staff Calendar View'!D$67</f>
        <v>Grace</v>
      </c>
      <c r="G171" s="20" t="str">
        <f>IF('1 - Staff Calendar View'!D$65="-","-",'1 - Staff Calendar View'!D$65)</f>
        <v>Sener</v>
      </c>
      <c r="H171" s="20" t="str">
        <f t="shared" si="2"/>
        <v>#REF!</v>
      </c>
    </row>
    <row r="172" ht="15.75" customHeight="1">
      <c r="A172" s="20" t="str">
        <f>'1 - Staff Calendar View'!$A$65</f>
        <v>Wk 15</v>
      </c>
      <c r="B172" s="22">
        <f>'1 - Staff Calendar View'!D$64</f>
        <v>46238</v>
      </c>
      <c r="C172" s="20" t="str">
        <f t="shared" si="1"/>
        <v>Tue</v>
      </c>
      <c r="D172" s="20" t="str">
        <f>'1 - Staff Calendar View'!$B$68</f>
        <v>Caulfield Drop-in</v>
      </c>
      <c r="E172" s="20" t="str">
        <f>VLOOKUP(D172,'1 - Staff Calendar View'!$I$49:$J$51,2,FALSE())</f>
        <v>10:40AM-2:20PM</v>
      </c>
      <c r="F172" s="20" t="str">
        <f>'1 - Staff Calendar View'!D$68</f>
        <v>Hailey</v>
      </c>
      <c r="G172" s="20" t="str">
        <f>IF('1 - Staff Calendar View'!D$70="-","-",'1 - Staff Calendar View'!D$70)</f>
        <v>Omila </v>
      </c>
      <c r="H172" s="20" t="str">
        <f t="shared" si="2"/>
        <v>#REF!</v>
      </c>
    </row>
    <row r="173" ht="15.75" customHeight="1">
      <c r="A173" s="20" t="str">
        <f>'1 - Staff Calendar View'!$A$65</f>
        <v>Wk 15</v>
      </c>
      <c r="B173" s="22">
        <f>'1 - Staff Calendar View'!D$64</f>
        <v>46238</v>
      </c>
      <c r="C173" s="20" t="str">
        <f t="shared" si="1"/>
        <v>Tue</v>
      </c>
      <c r="D173" s="20" t="str">
        <f>'1 - Staff Calendar View'!$B$68</f>
        <v>Caulfield Drop-in</v>
      </c>
      <c r="E173" s="20" t="str">
        <f>VLOOKUP(D173,'1 - Staff Calendar View'!$I$49:$J$51,2,FALSE())</f>
        <v>10:40AM-2:20PM</v>
      </c>
      <c r="F173" s="20" t="str">
        <f>'1 - Staff Calendar View'!D$70</f>
        <v>Omila </v>
      </c>
      <c r="G173" s="20" t="str">
        <f>IF('1 - Staff Calendar View'!D$68="-","-",'1 - Staff Calendar View'!D$68)</f>
        <v>Hailey</v>
      </c>
      <c r="H173" s="20" t="str">
        <f t="shared" si="2"/>
        <v>#REF!</v>
      </c>
    </row>
    <row r="174" ht="15.75" customHeight="1">
      <c r="A174" s="20" t="str">
        <f>'1 - Staff Calendar View'!$A$65</f>
        <v>Wk 15</v>
      </c>
      <c r="B174" s="22">
        <f>'1 - Staff Calendar View'!D$64</f>
        <v>46238</v>
      </c>
      <c r="C174" s="20" t="str">
        <f t="shared" si="1"/>
        <v>Tue</v>
      </c>
      <c r="D174" s="20" t="str">
        <f>'1 - Staff Calendar View'!$B$74</f>
        <v>Webinar Support</v>
      </c>
      <c r="E174" s="20" t="str">
        <f>VLOOKUP(D174,'1 - Staff Calendar View'!$I$49:$J$51,2,FALSE())</f>
        <v>#N/A</v>
      </c>
      <c r="F174" s="20" t="str">
        <f>'1 - Staff Calendar View'!D$74</f>
        <v/>
      </c>
      <c r="G174" s="20" t="str">
        <f>IF('1 - Staff Calendar View'!D$75="-","-",'1 - Staff Calendar View'!D$75)</f>
        <v/>
      </c>
      <c r="H174" s="20" t="str">
        <f t="shared" si="2"/>
        <v>#REF!</v>
      </c>
    </row>
    <row r="175" ht="15.75" customHeight="1">
      <c r="A175" s="20" t="str">
        <f>'1 - Staff Calendar View'!$A$65</f>
        <v>Wk 15</v>
      </c>
      <c r="B175" s="22">
        <f>'1 - Staff Calendar View'!D$64</f>
        <v>46238</v>
      </c>
      <c r="C175" s="20" t="str">
        <f t="shared" si="1"/>
        <v>Tue</v>
      </c>
      <c r="D175" s="20" t="str">
        <f>'1 - Staff Calendar View'!$B$74</f>
        <v>Webinar Support</v>
      </c>
      <c r="E175" s="20" t="str">
        <f>VLOOKUP(D175,'1 - Staff Calendar View'!$I$49:$J$51,2,FALSE())</f>
        <v>#N/A</v>
      </c>
      <c r="F175" s="20" t="str">
        <f>'1 - Staff Calendar View'!D$75</f>
        <v/>
      </c>
      <c r="G175" s="20" t="str">
        <f>IF('1 - Staff Calendar View'!D$74="-","-",'1 - Staff Calendar View'!D$74)</f>
        <v/>
      </c>
      <c r="H175" s="20" t="str">
        <f t="shared" si="2"/>
        <v>#REF!</v>
      </c>
    </row>
    <row r="176" ht="15.75" customHeight="1">
      <c r="A176" s="20" t="str">
        <f>'1 - Staff Calendar View'!$A$65</f>
        <v>Wk 15</v>
      </c>
      <c r="B176" s="22">
        <f>'1 - Staff Calendar View'!D$64</f>
        <v>46238</v>
      </c>
      <c r="C176" s="20" t="str">
        <f t="shared" si="1"/>
        <v>Tue</v>
      </c>
      <c r="D176" s="20" t="str">
        <f>'1 - Staff Calendar View'!$B$76</f>
        <v>In Person Session</v>
      </c>
      <c r="E176" s="20" t="str">
        <f>VLOOKUP(D176,'1 - Staff Calendar View'!$I$49:$J$51,2,FALSE())</f>
        <v>#N/A</v>
      </c>
      <c r="F176" s="20" t="str">
        <f>'1 - Staff Calendar View'!D$76</f>
        <v/>
      </c>
      <c r="G176" s="20" t="str">
        <f>IF('1 - Staff Calendar View'!D$77="-","-",'1 - Staff Calendar View'!D$77)</f>
        <v/>
      </c>
      <c r="H176" s="20" t="str">
        <f t="shared" si="2"/>
        <v>#REF!</v>
      </c>
    </row>
    <row r="177" ht="15.75" customHeight="1">
      <c r="A177" s="20" t="str">
        <f>'1 - Staff Calendar View'!$A$65</f>
        <v>Wk 15</v>
      </c>
      <c r="B177" s="22">
        <f>'1 - Staff Calendar View'!D$64</f>
        <v>46238</v>
      </c>
      <c r="C177" s="20" t="str">
        <f t="shared" si="1"/>
        <v>Tue</v>
      </c>
      <c r="D177" s="20" t="str">
        <f>'1 - Staff Calendar View'!$B$76</f>
        <v>In Person Session</v>
      </c>
      <c r="E177" s="20" t="str">
        <f>VLOOKUP(D177,'1 - Staff Calendar View'!$I$49:$J$51,2,FALSE())</f>
        <v>#N/A</v>
      </c>
      <c r="F177" s="20" t="str">
        <f>'1 - Staff Calendar View'!D$77</f>
        <v/>
      </c>
      <c r="G177" s="20" t="str">
        <f>IF('1 - Staff Calendar View'!D$76="-","-",'1 - Staff Calendar View'!D$76)</f>
        <v/>
      </c>
      <c r="H177" s="20" t="str">
        <f t="shared" si="2"/>
        <v>#REF!</v>
      </c>
    </row>
    <row r="178" ht="15.75" customHeight="1">
      <c r="A178" s="20" t="str">
        <f>'1 - Staff Calendar View'!$A$65</f>
        <v>Wk 15</v>
      </c>
      <c r="B178" s="22">
        <f>'1 - Staff Calendar View'!E$64</f>
        <v>46239</v>
      </c>
      <c r="C178" s="20" t="str">
        <f t="shared" si="1"/>
        <v>Wed</v>
      </c>
      <c r="D178" s="20" t="str">
        <f>'1 - Staff Calendar View'!$B$65</f>
        <v>Clayton Drop-in</v>
      </c>
      <c r="E178" s="20" t="str">
        <f>VLOOKUP(D178,'1 - Staff Calendar View'!$I$49:$J$51,2,FALSE())</f>
        <v>#N/A</v>
      </c>
      <c r="F178" s="20" t="str">
        <f>'1 - Staff Calendar View'!E$65</f>
        <v>Yunsoo</v>
      </c>
      <c r="G178" s="20" t="str">
        <f>IF('1 - Staff Calendar View'!E$67="-","-",'1 - Staff Calendar View'!E$67)</f>
        <v>Ekachit</v>
      </c>
      <c r="H178" s="20" t="str">
        <f t="shared" si="2"/>
        <v>#REF!</v>
      </c>
    </row>
    <row r="179" ht="15.75" customHeight="1">
      <c r="A179" s="20" t="str">
        <f>'1 - Staff Calendar View'!$A$65</f>
        <v>Wk 15</v>
      </c>
      <c r="B179" s="22">
        <f>'1 - Staff Calendar View'!E$64</f>
        <v>46239</v>
      </c>
      <c r="C179" s="20" t="str">
        <f t="shared" si="1"/>
        <v>Wed</v>
      </c>
      <c r="D179" s="20" t="str">
        <f>'1 - Staff Calendar View'!$B$65</f>
        <v>Clayton Drop-in</v>
      </c>
      <c r="E179" s="20" t="str">
        <f>VLOOKUP(D179,'1 - Staff Calendar View'!$I$49:$J$51,2,FALSE())</f>
        <v>#N/A</v>
      </c>
      <c r="F179" s="20" t="str">
        <f>'1 - Staff Calendar View'!E$67</f>
        <v>Ekachit</v>
      </c>
      <c r="G179" s="20" t="str">
        <f>IF('1 - Staff Calendar View'!E$65="-","-",'1 - Staff Calendar View'!E$65)</f>
        <v>Yunsoo</v>
      </c>
      <c r="H179" s="20" t="str">
        <f t="shared" si="2"/>
        <v>#REF!</v>
      </c>
    </row>
    <row r="180" ht="15.75" customHeight="1">
      <c r="A180" s="20" t="str">
        <f>'1 - Staff Calendar View'!$A$65</f>
        <v>Wk 15</v>
      </c>
      <c r="B180" s="22">
        <f>'1 - Staff Calendar View'!E$64</f>
        <v>46239</v>
      </c>
      <c r="C180" s="20" t="str">
        <f t="shared" si="1"/>
        <v>Wed</v>
      </c>
      <c r="D180" s="20" t="str">
        <f>'1 - Staff Calendar View'!$B$68</f>
        <v>Caulfield Drop-in</v>
      </c>
      <c r="E180" s="20" t="str">
        <f>VLOOKUP(D180,'1 - Staff Calendar View'!$I$49:$J$51,2,FALSE())</f>
        <v>10:40AM-2:20PM</v>
      </c>
      <c r="F180" s="20" t="str">
        <f>'1 - Staff Calendar View'!E$68</f>
        <v>Sener</v>
      </c>
      <c r="G180" s="20" t="str">
        <f>IF('1 - Staff Calendar View'!E$70="-","-",'1 - Staff Calendar View'!E$70)</f>
        <v>Omila </v>
      </c>
      <c r="H180" s="20" t="str">
        <f t="shared" si="2"/>
        <v>#REF!</v>
      </c>
    </row>
    <row r="181" ht="15.75" customHeight="1">
      <c r="A181" s="20" t="str">
        <f>'1 - Staff Calendar View'!$A$65</f>
        <v>Wk 15</v>
      </c>
      <c r="B181" s="22">
        <f>'1 - Staff Calendar View'!E$64</f>
        <v>46239</v>
      </c>
      <c r="C181" s="20" t="str">
        <f t="shared" si="1"/>
        <v>Wed</v>
      </c>
      <c r="D181" s="20" t="str">
        <f>'1 - Staff Calendar View'!$B$68</f>
        <v>Caulfield Drop-in</v>
      </c>
      <c r="E181" s="20" t="str">
        <f>VLOOKUP(D181,'1 - Staff Calendar View'!$I$49:$J$51,2,FALSE())</f>
        <v>10:40AM-2:20PM</v>
      </c>
      <c r="F181" s="20" t="str">
        <f>'1 - Staff Calendar View'!E$70</f>
        <v>Omila </v>
      </c>
      <c r="G181" s="20" t="str">
        <f>IF('1 - Staff Calendar View'!E$68="-","-",'1 - Staff Calendar View'!E$68)</f>
        <v>Sener</v>
      </c>
      <c r="H181" s="20" t="str">
        <f t="shared" si="2"/>
        <v>#REF!</v>
      </c>
    </row>
    <row r="182" ht="15.75" customHeight="1">
      <c r="A182" s="20" t="str">
        <f>'1 - Staff Calendar View'!$A$65</f>
        <v>Wk 15</v>
      </c>
      <c r="B182" s="22">
        <f>'1 - Staff Calendar View'!E$64</f>
        <v>46239</v>
      </c>
      <c r="C182" s="20" t="str">
        <f t="shared" si="1"/>
        <v>Wed</v>
      </c>
      <c r="D182" s="20" t="str">
        <f>'1 - Staff Calendar View'!$B$74</f>
        <v>Webinar Support</v>
      </c>
      <c r="E182" s="20" t="str">
        <f>VLOOKUP(D182,'1 - Staff Calendar View'!$I$49:$J$51,2,FALSE())</f>
        <v>#N/A</v>
      </c>
      <c r="F182" s="20" t="str">
        <f>'1 - Staff Calendar View'!E$74</f>
        <v>Advay</v>
      </c>
      <c r="G182" s="20" t="str">
        <f>IF('1 - Staff Calendar View'!E$75="-","-",'1 - Staff Calendar View'!E$75)</f>
        <v/>
      </c>
      <c r="H182" s="20" t="str">
        <f t="shared" si="2"/>
        <v>#REF!</v>
      </c>
    </row>
    <row r="183" ht="15.75" customHeight="1">
      <c r="A183" s="20" t="str">
        <f>'1 - Staff Calendar View'!$A$65</f>
        <v>Wk 15</v>
      </c>
      <c r="B183" s="22">
        <f>'1 - Staff Calendar View'!E$64</f>
        <v>46239</v>
      </c>
      <c r="C183" s="20" t="str">
        <f t="shared" si="1"/>
        <v>Wed</v>
      </c>
      <c r="D183" s="20" t="str">
        <f>'1 - Staff Calendar View'!$B$74</f>
        <v>Webinar Support</v>
      </c>
      <c r="E183" s="20" t="str">
        <f>VLOOKUP(D183,'1 - Staff Calendar View'!$I$49:$J$51,2,FALSE())</f>
        <v>#N/A</v>
      </c>
      <c r="F183" s="20" t="str">
        <f>'1 - Staff Calendar View'!E$75</f>
        <v/>
      </c>
      <c r="G183" s="20" t="str">
        <f>IF('1 - Staff Calendar View'!E$74="-","-",'1 - Staff Calendar View'!E$74)</f>
        <v>Advay</v>
      </c>
      <c r="H183" s="20" t="str">
        <f t="shared" si="2"/>
        <v>#REF!</v>
      </c>
    </row>
    <row r="184" ht="15.75" customHeight="1">
      <c r="A184" s="20" t="str">
        <f>'1 - Staff Calendar View'!$A$65</f>
        <v>Wk 15</v>
      </c>
      <c r="B184" s="22">
        <f>'1 - Staff Calendar View'!E$64</f>
        <v>46239</v>
      </c>
      <c r="C184" s="20" t="str">
        <f t="shared" si="1"/>
        <v>Wed</v>
      </c>
      <c r="D184" s="20" t="str">
        <f>'1 - Staff Calendar View'!$B$76</f>
        <v>In Person Session</v>
      </c>
      <c r="E184" s="20" t="str">
        <f>VLOOKUP(D184,'1 - Staff Calendar View'!$I$49:$J$51,2,FALSE())</f>
        <v>#N/A</v>
      </c>
      <c r="F184" s="20" t="str">
        <f>'1 - Staff Calendar View'!E$76</f>
        <v/>
      </c>
      <c r="G184" s="20" t="str">
        <f>IF('1 - Staff Calendar View'!E$77="-","-",'1 - Staff Calendar View'!E$77)</f>
        <v/>
      </c>
      <c r="H184" s="20" t="str">
        <f t="shared" si="2"/>
        <v>#REF!</v>
      </c>
    </row>
    <row r="185" ht="15.75" customHeight="1">
      <c r="A185" s="20" t="str">
        <f>'1 - Staff Calendar View'!$A$65</f>
        <v>Wk 15</v>
      </c>
      <c r="B185" s="22">
        <f>'1 - Staff Calendar View'!E$64</f>
        <v>46239</v>
      </c>
      <c r="C185" s="20" t="str">
        <f t="shared" si="1"/>
        <v>Wed</v>
      </c>
      <c r="D185" s="20" t="str">
        <f>'1 - Staff Calendar View'!$B$76</f>
        <v>In Person Session</v>
      </c>
      <c r="E185" s="20" t="str">
        <f>VLOOKUP(D185,'1 - Staff Calendar View'!$I$49:$J$51,2,FALSE())</f>
        <v>#N/A</v>
      </c>
      <c r="F185" s="20" t="str">
        <f>'1 - Staff Calendar View'!E$77</f>
        <v/>
      </c>
      <c r="G185" s="20" t="str">
        <f>IF('1 - Staff Calendar View'!E$76="-","-",'1 - Staff Calendar View'!E$76)</f>
        <v/>
      </c>
      <c r="H185" s="20" t="str">
        <f t="shared" si="2"/>
        <v>#REF!</v>
      </c>
    </row>
    <row r="186" ht="15.75" customHeight="1">
      <c r="A186" s="20" t="str">
        <f>'1 - Staff Calendar View'!$A$65</f>
        <v>Wk 15</v>
      </c>
      <c r="B186" s="22">
        <f>'1 - Staff Calendar View'!F$64</f>
        <v>46240</v>
      </c>
      <c r="C186" s="20" t="str">
        <f t="shared" si="1"/>
        <v>Thu</v>
      </c>
      <c r="D186" s="20" t="str">
        <f>'1 - Staff Calendar View'!$B$65</f>
        <v>Clayton Drop-in</v>
      </c>
      <c r="E186" s="20" t="str">
        <f>VLOOKUP(D186,'1 - Staff Calendar View'!$I$49:$J$51,2,FALSE())</f>
        <v>#N/A</v>
      </c>
      <c r="F186" s="20" t="str">
        <f>'1 - Staff Calendar View'!F$65</f>
        <v>Hailey </v>
      </c>
      <c r="G186" s="20" t="str">
        <f>IF('1 - Staff Calendar View'!F$67="-","-",'1 - Staff Calendar View'!F$67)</f>
        <v>Cass</v>
      </c>
      <c r="H186" s="20" t="str">
        <f t="shared" si="2"/>
        <v>#REF!</v>
      </c>
    </row>
    <row r="187" ht="15.75" customHeight="1">
      <c r="A187" s="20" t="str">
        <f>'1 - Staff Calendar View'!$A$65</f>
        <v>Wk 15</v>
      </c>
      <c r="B187" s="22">
        <f>'1 - Staff Calendar View'!F$64</f>
        <v>46240</v>
      </c>
      <c r="C187" s="20" t="str">
        <f t="shared" si="1"/>
        <v>Thu</v>
      </c>
      <c r="D187" s="20" t="str">
        <f>'1 - Staff Calendar View'!$B$65</f>
        <v>Clayton Drop-in</v>
      </c>
      <c r="E187" s="20" t="str">
        <f>VLOOKUP(D187,'1 - Staff Calendar View'!$I$49:$J$51,2,FALSE())</f>
        <v>#N/A</v>
      </c>
      <c r="F187" s="20" t="str">
        <f>'1 - Staff Calendar View'!F$67</f>
        <v>Cass</v>
      </c>
      <c r="G187" s="20" t="str">
        <f>IF('1 - Staff Calendar View'!F$65="-","-",'1 - Staff Calendar View'!F$65)</f>
        <v>Hailey </v>
      </c>
      <c r="H187" s="20" t="str">
        <f t="shared" si="2"/>
        <v>#REF!</v>
      </c>
    </row>
    <row r="188" ht="15.75" customHeight="1">
      <c r="A188" s="20" t="str">
        <f>'1 - Staff Calendar View'!$A$65</f>
        <v>Wk 15</v>
      </c>
      <c r="B188" s="22">
        <f>'1 - Staff Calendar View'!F$64</f>
        <v>46240</v>
      </c>
      <c r="C188" s="20" t="str">
        <f t="shared" si="1"/>
        <v>Thu</v>
      </c>
      <c r="D188" s="20" t="str">
        <f>'1 - Staff Calendar View'!$B$68</f>
        <v>Caulfield Drop-in</v>
      </c>
      <c r="E188" s="20" t="str">
        <f>VLOOKUP(D188,'1 - Staff Calendar View'!$I$49:$J$51,2,FALSE())</f>
        <v>10:40AM-2:20PM</v>
      </c>
      <c r="F188" s="20" t="str">
        <f>'1 - Staff Calendar View'!F$68</f>
        <v/>
      </c>
      <c r="G188" s="20" t="str">
        <f>IF('1 - Staff Calendar View'!F$70="-","-",'1 - Staff Calendar View'!F$70)</f>
        <v>Sener</v>
      </c>
      <c r="H188" s="20" t="str">
        <f t="shared" si="2"/>
        <v>#REF!</v>
      </c>
    </row>
    <row r="189" ht="15.75" customHeight="1">
      <c r="A189" s="20" t="str">
        <f>'1 - Staff Calendar View'!$A$65</f>
        <v>Wk 15</v>
      </c>
      <c r="B189" s="22">
        <f>'1 - Staff Calendar View'!F$64</f>
        <v>46240</v>
      </c>
      <c r="C189" s="20" t="str">
        <f t="shared" si="1"/>
        <v>Thu</v>
      </c>
      <c r="D189" s="20" t="str">
        <f>'1 - Staff Calendar View'!$B$68</f>
        <v>Caulfield Drop-in</v>
      </c>
      <c r="E189" s="20" t="str">
        <f>VLOOKUP(D189,'1 - Staff Calendar View'!$I$49:$J$51,2,FALSE())</f>
        <v>10:40AM-2:20PM</v>
      </c>
      <c r="F189" s="20" t="str">
        <f>'1 - Staff Calendar View'!F$70</f>
        <v>Sener</v>
      </c>
      <c r="G189" s="20" t="str">
        <f>IF('1 - Staff Calendar View'!F$68="-","-",'1 - Staff Calendar View'!F$68)</f>
        <v/>
      </c>
      <c r="H189" s="20" t="str">
        <f t="shared" si="2"/>
        <v>#REF!</v>
      </c>
    </row>
    <row r="190" ht="15.75" customHeight="1">
      <c r="A190" s="20" t="str">
        <f>'1 - Staff Calendar View'!$A$65</f>
        <v>Wk 15</v>
      </c>
      <c r="B190" s="22">
        <f>'1 - Staff Calendar View'!F$64</f>
        <v>46240</v>
      </c>
      <c r="C190" s="20" t="str">
        <f t="shared" si="1"/>
        <v>Thu</v>
      </c>
      <c r="D190" s="20" t="str">
        <f>'1 - Staff Calendar View'!$B$74</f>
        <v>Webinar Support</v>
      </c>
      <c r="E190" s="20" t="str">
        <f>VLOOKUP(D190,'1 - Staff Calendar View'!$I$49:$J$51,2,FALSE())</f>
        <v>#N/A</v>
      </c>
      <c r="F190" s="20" t="str">
        <f>'1 - Staff Calendar View'!F$74</f>
        <v/>
      </c>
      <c r="G190" s="20" t="str">
        <f>IF('1 - Staff Calendar View'!F$75="-","-",'1 - Staff Calendar View'!F$75)</f>
        <v/>
      </c>
      <c r="H190" s="20" t="str">
        <f t="shared" si="2"/>
        <v>#REF!</v>
      </c>
    </row>
    <row r="191" ht="15.75" customHeight="1">
      <c r="A191" s="20" t="str">
        <f>'1 - Staff Calendar View'!$A$65</f>
        <v>Wk 15</v>
      </c>
      <c r="B191" s="22">
        <f>'1 - Staff Calendar View'!F$64</f>
        <v>46240</v>
      </c>
      <c r="C191" s="20" t="str">
        <f t="shared" si="1"/>
        <v>Thu</v>
      </c>
      <c r="D191" s="20" t="str">
        <f>'1 - Staff Calendar View'!$B$74</f>
        <v>Webinar Support</v>
      </c>
      <c r="E191" s="20" t="str">
        <f>VLOOKUP(D191,'1 - Staff Calendar View'!$I$49:$J$51,2,FALSE())</f>
        <v>#N/A</v>
      </c>
      <c r="F191" s="20" t="str">
        <f>'1 - Staff Calendar View'!F$75</f>
        <v/>
      </c>
      <c r="G191" s="20" t="str">
        <f>IF('1 - Staff Calendar View'!F$74="-","-",'1 - Staff Calendar View'!F$74)</f>
        <v/>
      </c>
      <c r="H191" s="20" t="str">
        <f t="shared" si="2"/>
        <v>#REF!</v>
      </c>
    </row>
    <row r="192" ht="15.75" customHeight="1">
      <c r="A192" s="20" t="str">
        <f>'1 - Staff Calendar View'!$A$65</f>
        <v>Wk 15</v>
      </c>
      <c r="B192" s="22">
        <f>'1 - Staff Calendar View'!F$64</f>
        <v>46240</v>
      </c>
      <c r="C192" s="20" t="str">
        <f t="shared" si="1"/>
        <v>Thu</v>
      </c>
      <c r="D192" s="20" t="str">
        <f>'1 - Staff Calendar View'!$B$76</f>
        <v>In Person Session</v>
      </c>
      <c r="E192" s="20" t="str">
        <f>VLOOKUP(D192,'1 - Staff Calendar View'!$I$49:$J$51,2,FALSE())</f>
        <v>#N/A</v>
      </c>
      <c r="F192" s="20" t="str">
        <f>'1 - Staff Calendar View'!F$76</f>
        <v/>
      </c>
      <c r="G192" s="20" t="str">
        <f>IF('1 - Staff Calendar View'!F$77="-","-",'1 - Staff Calendar View'!F$77)</f>
        <v/>
      </c>
      <c r="H192" s="20" t="str">
        <f t="shared" si="2"/>
        <v>#REF!</v>
      </c>
    </row>
    <row r="193" ht="15.75" customHeight="1">
      <c r="A193" s="20" t="str">
        <f>'1 - Staff Calendar View'!$A$65</f>
        <v>Wk 15</v>
      </c>
      <c r="B193" s="22">
        <f>'1 - Staff Calendar View'!F$64</f>
        <v>46240</v>
      </c>
      <c r="C193" s="20" t="str">
        <f t="shared" si="1"/>
        <v>Thu</v>
      </c>
      <c r="D193" s="20" t="str">
        <f>'1 - Staff Calendar View'!$B$76</f>
        <v>In Person Session</v>
      </c>
      <c r="E193" s="20" t="str">
        <f>VLOOKUP(D193,'1 - Staff Calendar View'!$I$49:$J$51,2,FALSE())</f>
        <v>#N/A</v>
      </c>
      <c r="F193" s="20" t="str">
        <f>'1 - Staff Calendar View'!F$77</f>
        <v/>
      </c>
      <c r="G193" s="20" t="str">
        <f>IF('1 - Staff Calendar View'!F$76="-","-",'1 - Staff Calendar View'!F$76)</f>
        <v/>
      </c>
      <c r="H193" s="20" t="str">
        <f t="shared" si="2"/>
        <v>#REF!</v>
      </c>
    </row>
    <row r="194" ht="15.75" customHeight="1">
      <c r="A194" s="20" t="str">
        <f>'1 - Staff Calendar View'!$A$65</f>
        <v>Wk 15</v>
      </c>
      <c r="B194" s="22">
        <f>'1 - Staff Calendar View'!G$64</f>
        <v>46241</v>
      </c>
      <c r="C194" s="20" t="str">
        <f t="shared" si="1"/>
        <v>Fri</v>
      </c>
      <c r="D194" s="20" t="str">
        <f>'1 - Staff Calendar View'!$B$65</f>
        <v>Clayton Drop-in</v>
      </c>
      <c r="E194" s="20" t="str">
        <f>VLOOKUP(D194,'1 - Staff Calendar View'!$I$49:$J$51,2,FALSE())</f>
        <v>#N/A</v>
      </c>
      <c r="F194" s="20" t="str">
        <f>'1 - Staff Calendar View'!G$65</f>
        <v/>
      </c>
      <c r="G194" s="20" t="str">
        <f>IF('1 - Staff Calendar View'!G$67="-","-",'1 - Staff Calendar View'!G$67)</f>
        <v/>
      </c>
      <c r="H194" s="20" t="str">
        <f t="shared" si="2"/>
        <v>#REF!</v>
      </c>
    </row>
    <row r="195" ht="15.75" customHeight="1">
      <c r="A195" s="20" t="str">
        <f>'1 - Staff Calendar View'!$A$65</f>
        <v>Wk 15</v>
      </c>
      <c r="B195" s="22">
        <f>'1 - Staff Calendar View'!G$64</f>
        <v>46241</v>
      </c>
      <c r="C195" s="20" t="str">
        <f t="shared" si="1"/>
        <v>Fri</v>
      </c>
      <c r="D195" s="20" t="str">
        <f>'1 - Staff Calendar View'!$B$65</f>
        <v>Clayton Drop-in</v>
      </c>
      <c r="E195" s="20" t="str">
        <f>VLOOKUP(D195,'1 - Staff Calendar View'!$I$49:$J$51,2,FALSE())</f>
        <v>#N/A</v>
      </c>
      <c r="F195" s="20" t="str">
        <f>'1 - Staff Calendar View'!G$67</f>
        <v/>
      </c>
      <c r="G195" s="20" t="str">
        <f>IF('1 - Staff Calendar View'!G$65="-","-",'1 - Staff Calendar View'!G$65)</f>
        <v/>
      </c>
      <c r="H195" s="20" t="str">
        <f t="shared" si="2"/>
        <v>#REF!</v>
      </c>
    </row>
    <row r="196" ht="15.75" customHeight="1">
      <c r="A196" s="20" t="str">
        <f>'1 - Staff Calendar View'!$A$65</f>
        <v>Wk 15</v>
      </c>
      <c r="B196" s="22">
        <f>'1 - Staff Calendar View'!G$64</f>
        <v>46241</v>
      </c>
      <c r="C196" s="20" t="str">
        <f t="shared" si="1"/>
        <v>Fri</v>
      </c>
      <c r="D196" s="20" t="str">
        <f>'1 - Staff Calendar View'!$B$68</f>
        <v>Caulfield Drop-in</v>
      </c>
      <c r="E196" s="20" t="str">
        <f>VLOOKUP(D196,'1 - Staff Calendar View'!$I$49:$J$51,2,FALSE())</f>
        <v>10:40AM-2:20PM</v>
      </c>
      <c r="F196" s="20" t="str">
        <f>'1 - Staff Calendar View'!G$68</f>
        <v/>
      </c>
      <c r="G196" s="20" t="str">
        <f>IF('1 - Staff Calendar View'!G$70="-","-",'1 - Staff Calendar View'!G$70)</f>
        <v/>
      </c>
      <c r="H196" s="20" t="str">
        <f t="shared" si="2"/>
        <v>#REF!</v>
      </c>
    </row>
    <row r="197" ht="15.75" customHeight="1">
      <c r="A197" s="20" t="str">
        <f>'1 - Staff Calendar View'!$A$65</f>
        <v>Wk 15</v>
      </c>
      <c r="B197" s="22">
        <f>'1 - Staff Calendar View'!G$64</f>
        <v>46241</v>
      </c>
      <c r="C197" s="20" t="str">
        <f t="shared" si="1"/>
        <v>Fri</v>
      </c>
      <c r="D197" s="20" t="str">
        <f>'1 - Staff Calendar View'!$B$68</f>
        <v>Caulfield Drop-in</v>
      </c>
      <c r="E197" s="20" t="str">
        <f>VLOOKUP(D197,'1 - Staff Calendar View'!$I$49:$J$51,2,FALSE())</f>
        <v>10:40AM-2:20PM</v>
      </c>
      <c r="F197" s="20" t="str">
        <f>'1 - Staff Calendar View'!G$70</f>
        <v/>
      </c>
      <c r="G197" s="20" t="str">
        <f>IF('1 - Staff Calendar View'!G$68="-","-",'1 - Staff Calendar View'!G$68)</f>
        <v/>
      </c>
      <c r="H197" s="20" t="str">
        <f t="shared" si="2"/>
        <v>#REF!</v>
      </c>
    </row>
    <row r="198" ht="15.75" customHeight="1">
      <c r="A198" s="20" t="str">
        <f>'1 - Staff Calendar View'!$A$65</f>
        <v>Wk 15</v>
      </c>
      <c r="B198" s="22">
        <f>'1 - Staff Calendar View'!G$64</f>
        <v>46241</v>
      </c>
      <c r="C198" s="20" t="str">
        <f t="shared" si="1"/>
        <v>Fri</v>
      </c>
      <c r="D198" s="20" t="str">
        <f>'1 - Staff Calendar View'!$B$74</f>
        <v>Webinar Support</v>
      </c>
      <c r="E198" s="20" t="str">
        <f>VLOOKUP(D198,'1 - Staff Calendar View'!$I$49:$J$51,2,FALSE())</f>
        <v>#N/A</v>
      </c>
      <c r="F198" s="20" t="str">
        <f>'1 - Staff Calendar View'!G$74</f>
        <v/>
      </c>
      <c r="G198" s="20" t="str">
        <f>IF('1 - Staff Calendar View'!G$75="-","-",'1 - Staff Calendar View'!G$75)</f>
        <v/>
      </c>
      <c r="H198" s="20" t="str">
        <f t="shared" si="2"/>
        <v>#REF!</v>
      </c>
    </row>
    <row r="199" ht="15.75" customHeight="1">
      <c r="A199" s="20" t="str">
        <f>'1 - Staff Calendar View'!$A$65</f>
        <v>Wk 15</v>
      </c>
      <c r="B199" s="22">
        <f>'1 - Staff Calendar View'!G$64</f>
        <v>46241</v>
      </c>
      <c r="C199" s="20" t="str">
        <f t="shared" si="1"/>
        <v>Fri</v>
      </c>
      <c r="D199" s="20" t="str">
        <f>'1 - Staff Calendar View'!$B$74</f>
        <v>Webinar Support</v>
      </c>
      <c r="E199" s="20" t="str">
        <f>VLOOKUP(D199,'1 - Staff Calendar View'!$I$49:$J$51,2,FALSE())</f>
        <v>#N/A</v>
      </c>
      <c r="F199" s="20" t="str">
        <f>'1 - Staff Calendar View'!G$75</f>
        <v/>
      </c>
      <c r="G199" s="20" t="str">
        <f>IF('1 - Staff Calendar View'!G$74="-","-",'1 - Staff Calendar View'!G$74)</f>
        <v/>
      </c>
      <c r="H199" s="20" t="str">
        <f t="shared" si="2"/>
        <v>#REF!</v>
      </c>
    </row>
    <row r="200" ht="15.75" customHeight="1">
      <c r="A200" s="20" t="str">
        <f>'1 - Staff Calendar View'!$A$65</f>
        <v>Wk 15</v>
      </c>
      <c r="B200" s="22">
        <f>'1 - Staff Calendar View'!G$64</f>
        <v>46241</v>
      </c>
      <c r="C200" s="20" t="str">
        <f t="shared" si="1"/>
        <v>Fri</v>
      </c>
      <c r="D200" s="20" t="str">
        <f>'1 - Staff Calendar View'!$B$76</f>
        <v>In Person Session</v>
      </c>
      <c r="E200" s="20" t="str">
        <f>VLOOKUP(D200,'1 - Staff Calendar View'!$I$49:$J$51,2,FALSE())</f>
        <v>#N/A</v>
      </c>
      <c r="F200" s="20" t="str">
        <f>'1 - Staff Calendar View'!G$76</f>
        <v/>
      </c>
      <c r="G200" s="20" t="str">
        <f>IF('1 - Staff Calendar View'!G$77="-","-",'1 - Staff Calendar View'!G$77)</f>
        <v/>
      </c>
      <c r="H200" s="20" t="str">
        <f t="shared" si="2"/>
        <v>#REF!</v>
      </c>
    </row>
    <row r="201" ht="15.75" customHeight="1">
      <c r="A201" s="20" t="str">
        <f>'1 - Staff Calendar View'!$A$65</f>
        <v>Wk 15</v>
      </c>
      <c r="B201" s="22">
        <f>'1 - Staff Calendar View'!G$64</f>
        <v>46241</v>
      </c>
      <c r="C201" s="20" t="str">
        <f t="shared" si="1"/>
        <v>Fri</v>
      </c>
      <c r="D201" s="20" t="str">
        <f>'1 - Staff Calendar View'!$B$76</f>
        <v>In Person Session</v>
      </c>
      <c r="E201" s="20" t="str">
        <f>VLOOKUP(D201,'1 - Staff Calendar View'!$I$49:$J$51,2,FALSE())</f>
        <v>#N/A</v>
      </c>
      <c r="F201" s="20" t="str">
        <f>'1 - Staff Calendar View'!G$77</f>
        <v/>
      </c>
      <c r="G201" s="20" t="str">
        <f>IF('1 - Staff Calendar View'!G$76="-","-",'1 - Staff Calendar View'!G$76)</f>
        <v/>
      </c>
      <c r="H201" s="20" t="str">
        <f t="shared" si="2"/>
        <v>#REF!</v>
      </c>
    </row>
    <row r="202" ht="15.75" customHeight="1">
      <c r="A202" s="20" t="str">
        <f>'1 - Staff Calendar View'!$A$81</f>
        <v>Wk 16</v>
      </c>
      <c r="B202" s="22">
        <f>'1 - Staff Calendar View'!C$80</f>
        <v>46244</v>
      </c>
      <c r="C202" s="20" t="str">
        <f t="shared" si="1"/>
        <v>Mon</v>
      </c>
      <c r="D202" s="20" t="str">
        <f>'1 - Staff Calendar View'!$B$81</f>
        <v>Clayton Drop-in</v>
      </c>
      <c r="E202" s="20" t="str">
        <f>VLOOKUP(D202,'1 - Staff Calendar View'!$I$49:$J$51,2,FALSE())</f>
        <v>#N/A</v>
      </c>
      <c r="F202" s="20" t="str">
        <f>'1 - Staff Calendar View'!C$81</f>
        <v/>
      </c>
      <c r="G202" s="20" t="str">
        <f>IF('1 - Staff Calendar View'!C$83="-","-",'1 - Staff Calendar View'!C$83)</f>
        <v/>
      </c>
      <c r="H202" s="20" t="str">
        <f t="shared" si="2"/>
        <v>#REF!</v>
      </c>
    </row>
    <row r="203" ht="15.75" customHeight="1">
      <c r="A203" s="20" t="str">
        <f>'1 - Staff Calendar View'!$A$81</f>
        <v>Wk 16</v>
      </c>
      <c r="B203" s="22">
        <f>'1 - Staff Calendar View'!C$80</f>
        <v>46244</v>
      </c>
      <c r="C203" s="20" t="str">
        <f t="shared" si="1"/>
        <v>Mon</v>
      </c>
      <c r="D203" s="20" t="str">
        <f>'1 - Staff Calendar View'!$B$81</f>
        <v>Clayton Drop-in</v>
      </c>
      <c r="E203" s="20" t="str">
        <f>VLOOKUP(D203,'1 - Staff Calendar View'!$I$49:$J$51,2,FALSE())</f>
        <v>#N/A</v>
      </c>
      <c r="F203" s="20" t="str">
        <f>'1 - Staff Calendar View'!C$83</f>
        <v/>
      </c>
      <c r="G203" s="20" t="str">
        <f>IF('1 - Staff Calendar View'!C$81="-","-",'1 - Staff Calendar View'!C$81)</f>
        <v/>
      </c>
      <c r="H203" s="20" t="str">
        <f t="shared" si="2"/>
        <v>#REF!</v>
      </c>
    </row>
    <row r="204" ht="15.75" customHeight="1">
      <c r="A204" s="20" t="str">
        <f>'1 - Staff Calendar View'!$A$81</f>
        <v>Wk 16</v>
      </c>
      <c r="B204" s="22">
        <f>'1 - Staff Calendar View'!C$80</f>
        <v>46244</v>
      </c>
      <c r="C204" s="20" t="str">
        <f t="shared" si="1"/>
        <v>Mon</v>
      </c>
      <c r="D204" s="20" t="str">
        <f>'1 - Staff Calendar View'!$B$84</f>
        <v>Caulfield Drop-in</v>
      </c>
      <c r="E204" s="20" t="str">
        <f>VLOOKUP(D204,'1 - Staff Calendar View'!$I$49:$J$51,2,FALSE())</f>
        <v>10:40AM-2:20PM</v>
      </c>
      <c r="F204" s="20" t="str">
        <f>'1 - Staff Calendar View'!C$84</f>
        <v/>
      </c>
      <c r="G204" s="20" t="str">
        <f>IF('1 - Staff Calendar View'!C$86="-","-",'1 - Staff Calendar View'!C$86)</f>
        <v/>
      </c>
      <c r="H204" s="20" t="str">
        <f t="shared" si="2"/>
        <v>#REF!</v>
      </c>
    </row>
    <row r="205" ht="15.75" customHeight="1">
      <c r="A205" s="20" t="str">
        <f>'1 - Staff Calendar View'!$A$81</f>
        <v>Wk 16</v>
      </c>
      <c r="B205" s="22">
        <f>'1 - Staff Calendar View'!C$80</f>
        <v>46244</v>
      </c>
      <c r="C205" s="20" t="str">
        <f t="shared" si="1"/>
        <v>Mon</v>
      </c>
      <c r="D205" s="20" t="str">
        <f>'1 - Staff Calendar View'!$B$84</f>
        <v>Caulfield Drop-in</v>
      </c>
      <c r="E205" s="20" t="str">
        <f>VLOOKUP(D205,'1 - Staff Calendar View'!$I$49:$J$51,2,FALSE())</f>
        <v>10:40AM-2:20PM</v>
      </c>
      <c r="F205" s="20" t="str">
        <f>'1 - Staff Calendar View'!C$86</f>
        <v/>
      </c>
      <c r="G205" s="20" t="str">
        <f>IF('1 - Staff Calendar View'!C$84="-","-",'1 - Staff Calendar View'!C$84)</f>
        <v/>
      </c>
      <c r="H205" s="20" t="str">
        <f t="shared" si="2"/>
        <v>#REF!</v>
      </c>
    </row>
    <row r="206" ht="15.75" customHeight="1">
      <c r="A206" s="20" t="str">
        <f>'1 - Staff Calendar View'!$A$81</f>
        <v>Wk 16</v>
      </c>
      <c r="B206" s="22">
        <f>'1 - Staff Calendar View'!C$80</f>
        <v>46244</v>
      </c>
      <c r="C206" s="20" t="str">
        <f t="shared" si="1"/>
        <v>Mon</v>
      </c>
      <c r="D206" s="20" t="str">
        <f>'1 - Staff Calendar View'!$B$87</f>
        <v>Webinars</v>
      </c>
      <c r="E206" s="20" t="str">
        <f>VLOOKUP(D206,'1 - Staff Calendar View'!$I$49:$J$51,2,FALSE())</f>
        <v>4:00PM-5:00PM</v>
      </c>
      <c r="F206" s="20" t="str">
        <f>'1 - Staff Calendar View'!C$87</f>
        <v/>
      </c>
      <c r="G206" s="20" t="str">
        <f>IF('1 - Staff Calendar View'!C$88="-","-",'1 - Staff Calendar View'!C$88)</f>
        <v/>
      </c>
      <c r="H206" s="20" t="str">
        <f t="shared" si="2"/>
        <v>#REF!</v>
      </c>
    </row>
    <row r="207" ht="15.75" customHeight="1">
      <c r="A207" s="20" t="str">
        <f>'1 - Staff Calendar View'!$A$81</f>
        <v>Wk 16</v>
      </c>
      <c r="B207" s="22">
        <f>'1 - Staff Calendar View'!C$80</f>
        <v>46244</v>
      </c>
      <c r="C207" s="20" t="str">
        <f t="shared" si="1"/>
        <v>Mon</v>
      </c>
      <c r="D207" s="20" t="str">
        <f>'1 - Staff Calendar View'!$B$87</f>
        <v>Webinars</v>
      </c>
      <c r="E207" s="20" t="str">
        <f>VLOOKUP(D207,'1 - Staff Calendar View'!$I$49:$J$51,2,FALSE())</f>
        <v>4:00PM-5:00PM</v>
      </c>
      <c r="F207" s="20" t="str">
        <f>'1 - Staff Calendar View'!C$88</f>
        <v/>
      </c>
      <c r="G207" s="20" t="str">
        <f>IF('1 - Staff Calendar View'!C$87="-","-",'1 - Staff Calendar View'!C$87)</f>
        <v/>
      </c>
      <c r="H207" s="20" t="str">
        <f t="shared" si="2"/>
        <v>#REF!</v>
      </c>
    </row>
    <row r="208" ht="15.75" customHeight="1">
      <c r="A208" s="20" t="str">
        <f>'1 - Staff Calendar View'!$A$81</f>
        <v>Wk 16</v>
      </c>
      <c r="B208" s="22">
        <f>'1 - Staff Calendar View'!C$80</f>
        <v>46244</v>
      </c>
      <c r="C208" s="20" t="str">
        <f t="shared" si="1"/>
        <v>Mon</v>
      </c>
      <c r="D208" s="20" t="str">
        <f>'1 - Staff Calendar View'!$B$89</f>
        <v>In Person Session</v>
      </c>
      <c r="E208" s="20" t="str">
        <f>VLOOKUP(D208,'1 - Staff Calendar View'!$I$49:$J$51,2,FALSE())</f>
        <v>#N/A</v>
      </c>
      <c r="F208" s="20" t="str">
        <f>'1 - Staff Calendar View'!C$89</f>
        <v/>
      </c>
      <c r="G208" s="20" t="str">
        <f>IF('1 - Staff Calendar View'!C$90="-","-",'1 - Staff Calendar View'!C$90)</f>
        <v/>
      </c>
      <c r="H208" s="20" t="str">
        <f t="shared" si="2"/>
        <v>#REF!</v>
      </c>
    </row>
    <row r="209" ht="15.75" customHeight="1">
      <c r="A209" s="20" t="str">
        <f>'1 - Staff Calendar View'!$A$81</f>
        <v>Wk 16</v>
      </c>
      <c r="B209" s="22">
        <f>'1 - Staff Calendar View'!C$80</f>
        <v>46244</v>
      </c>
      <c r="C209" s="20" t="str">
        <f t="shared" si="1"/>
        <v>Mon</v>
      </c>
      <c r="D209" s="20" t="str">
        <f>'1 - Staff Calendar View'!$B$89</f>
        <v>In Person Session</v>
      </c>
      <c r="E209" s="20" t="str">
        <f>VLOOKUP(D209,'1 - Staff Calendar View'!$I$49:$J$51,2,FALSE())</f>
        <v>#N/A</v>
      </c>
      <c r="F209" s="20" t="str">
        <f>'1 - Staff Calendar View'!C$90</f>
        <v/>
      </c>
      <c r="G209" s="20" t="str">
        <f>IF('1 - Staff Calendar View'!C$89="-","-",'1 - Staff Calendar View'!C$89)</f>
        <v/>
      </c>
      <c r="H209" s="20" t="str">
        <f t="shared" si="2"/>
        <v>#REF!</v>
      </c>
    </row>
    <row r="210" ht="15.75" customHeight="1">
      <c r="A210" s="20" t="str">
        <f>'1 - Staff Calendar View'!$A$81</f>
        <v>Wk 16</v>
      </c>
      <c r="B210" s="22">
        <f>'1 - Staff Calendar View'!D$80</f>
        <v>46245</v>
      </c>
      <c r="C210" s="20" t="str">
        <f t="shared" si="1"/>
        <v>Tue</v>
      </c>
      <c r="D210" s="20" t="str">
        <f>'1 - Staff Calendar View'!$B$81</f>
        <v>Clayton Drop-in</v>
      </c>
      <c r="E210" s="20" t="str">
        <f>VLOOKUP(D210,'1 - Staff Calendar View'!$I$49:$J$51,2,FALSE())</f>
        <v>#N/A</v>
      </c>
      <c r="F210" s="20" t="str">
        <f>'1 - Staff Calendar View'!D$81</f>
        <v>Advay</v>
      </c>
      <c r="G210" s="20" t="str">
        <f>IF('1 - Staff Calendar View'!D$83="-","-",'1 - Staff Calendar View'!D$83)</f>
        <v>Grace</v>
      </c>
      <c r="H210" s="20" t="str">
        <f t="shared" si="2"/>
        <v>#REF!</v>
      </c>
    </row>
    <row r="211" ht="15.75" customHeight="1">
      <c r="A211" s="20" t="str">
        <f>'1 - Staff Calendar View'!$A$81</f>
        <v>Wk 16</v>
      </c>
      <c r="B211" s="22">
        <f>'1 - Staff Calendar View'!D$80</f>
        <v>46245</v>
      </c>
      <c r="C211" s="20" t="str">
        <f t="shared" si="1"/>
        <v>Tue</v>
      </c>
      <c r="D211" s="20" t="str">
        <f>'1 - Staff Calendar View'!$B$81</f>
        <v>Clayton Drop-in</v>
      </c>
      <c r="E211" s="20" t="str">
        <f>VLOOKUP(D211,'1 - Staff Calendar View'!$I$49:$J$51,2,FALSE())</f>
        <v>#N/A</v>
      </c>
      <c r="F211" s="20" t="str">
        <f>'1 - Staff Calendar View'!D$83</f>
        <v>Grace</v>
      </c>
      <c r="G211" s="20" t="str">
        <f>IF('1 - Staff Calendar View'!D$81="-","-",'1 - Staff Calendar View'!D$81)</f>
        <v>Advay</v>
      </c>
      <c r="H211" s="20" t="str">
        <f t="shared" si="2"/>
        <v>#REF!</v>
      </c>
    </row>
    <row r="212" ht="15.75" customHeight="1">
      <c r="A212" s="20" t="str">
        <f>'1 - Staff Calendar View'!$A$81</f>
        <v>Wk 16</v>
      </c>
      <c r="B212" s="22">
        <f>'1 - Staff Calendar View'!D$80</f>
        <v>46245</v>
      </c>
      <c r="C212" s="20" t="str">
        <f t="shared" si="1"/>
        <v>Tue</v>
      </c>
      <c r="D212" s="20" t="str">
        <f>'1 - Staff Calendar View'!$B$84</f>
        <v>Caulfield Drop-in</v>
      </c>
      <c r="E212" s="20" t="str">
        <f>VLOOKUP(D212,'1 - Staff Calendar View'!$I$49:$J$51,2,FALSE())</f>
        <v>10:40AM-2:20PM</v>
      </c>
      <c r="F212" s="20" t="str">
        <f>'1 - Staff Calendar View'!D$84</f>
        <v>Hailey</v>
      </c>
      <c r="G212" s="20" t="str">
        <f>IF('1 - Staff Calendar View'!D$86="-","-",'1 - Staff Calendar View'!D$86)</f>
        <v>Ekachit </v>
      </c>
      <c r="H212" s="20" t="str">
        <f t="shared" si="2"/>
        <v>#REF!</v>
      </c>
    </row>
    <row r="213" ht="15.75" customHeight="1">
      <c r="A213" s="20" t="str">
        <f>'1 - Staff Calendar View'!$A$81</f>
        <v>Wk 16</v>
      </c>
      <c r="B213" s="22">
        <f>'1 - Staff Calendar View'!D$80</f>
        <v>46245</v>
      </c>
      <c r="C213" s="20" t="str">
        <f t="shared" si="1"/>
        <v>Tue</v>
      </c>
      <c r="D213" s="20" t="str">
        <f>'1 - Staff Calendar View'!$B$84</f>
        <v>Caulfield Drop-in</v>
      </c>
      <c r="E213" s="20" t="str">
        <f>VLOOKUP(D213,'1 - Staff Calendar View'!$I$49:$J$51,2,FALSE())</f>
        <v>10:40AM-2:20PM</v>
      </c>
      <c r="F213" s="20" t="str">
        <f>'1 - Staff Calendar View'!D$86</f>
        <v>Ekachit </v>
      </c>
      <c r="G213" s="20" t="str">
        <f>IF('1 - Staff Calendar View'!D$84="-","-",'1 - Staff Calendar View'!D$84)</f>
        <v>Hailey</v>
      </c>
      <c r="H213" s="20" t="str">
        <f t="shared" si="2"/>
        <v>#REF!</v>
      </c>
    </row>
    <row r="214" ht="15.75" customHeight="1">
      <c r="A214" s="20" t="str">
        <f>'1 - Staff Calendar View'!$A$81</f>
        <v>Wk 16</v>
      </c>
      <c r="B214" s="22">
        <f>'1 - Staff Calendar View'!D$80</f>
        <v>46245</v>
      </c>
      <c r="C214" s="20" t="str">
        <f t="shared" si="1"/>
        <v>Tue</v>
      </c>
      <c r="D214" s="20" t="str">
        <f>'1 - Staff Calendar View'!$B$87</f>
        <v>Webinars</v>
      </c>
      <c r="E214" s="20" t="str">
        <f>VLOOKUP(D214,'1 - Staff Calendar View'!$I$49:$J$51,2,FALSE())</f>
        <v>4:00PM-5:00PM</v>
      </c>
      <c r="F214" s="20" t="str">
        <f>'1 - Staff Calendar View'!D$87</f>
        <v/>
      </c>
      <c r="G214" s="20" t="str">
        <f>IF('1 - Staff Calendar View'!D$88="-","-",'1 - Staff Calendar View'!D$88)</f>
        <v/>
      </c>
      <c r="H214" s="20" t="str">
        <f t="shared" si="2"/>
        <v>#REF!</v>
      </c>
    </row>
    <row r="215" ht="15.75" customHeight="1">
      <c r="A215" s="20" t="str">
        <f>'1 - Staff Calendar View'!$A$81</f>
        <v>Wk 16</v>
      </c>
      <c r="B215" s="22">
        <f>'1 - Staff Calendar View'!D$80</f>
        <v>46245</v>
      </c>
      <c r="C215" s="20" t="str">
        <f t="shared" si="1"/>
        <v>Tue</v>
      </c>
      <c r="D215" s="20" t="str">
        <f>'1 - Staff Calendar View'!$B$87</f>
        <v>Webinars</v>
      </c>
      <c r="E215" s="20" t="str">
        <f>VLOOKUP(D215,'1 - Staff Calendar View'!$I$49:$J$51,2,FALSE())</f>
        <v>4:00PM-5:00PM</v>
      </c>
      <c r="F215" s="20" t="str">
        <f>'1 - Staff Calendar View'!D$88</f>
        <v/>
      </c>
      <c r="G215" s="20" t="str">
        <f>IF('1 - Staff Calendar View'!D$87="-","-",'1 - Staff Calendar View'!D$87)</f>
        <v/>
      </c>
      <c r="H215" s="20" t="str">
        <f t="shared" si="2"/>
        <v>#REF!</v>
      </c>
    </row>
    <row r="216" ht="15.75" customHeight="1">
      <c r="A216" s="20" t="str">
        <f>'1 - Staff Calendar View'!$A$81</f>
        <v>Wk 16</v>
      </c>
      <c r="B216" s="22">
        <f>'1 - Staff Calendar View'!D$80</f>
        <v>46245</v>
      </c>
      <c r="C216" s="20" t="str">
        <f t="shared" si="1"/>
        <v>Tue</v>
      </c>
      <c r="D216" s="20" t="str">
        <f>'1 - Staff Calendar View'!$B$89</f>
        <v>In Person Session</v>
      </c>
      <c r="E216" s="20" t="str">
        <f>VLOOKUP(D216,'1 - Staff Calendar View'!$I$49:$J$51,2,FALSE())</f>
        <v>#N/A</v>
      </c>
      <c r="F216" s="20" t="str">
        <f>'1 - Staff Calendar View'!D$89</f>
        <v/>
      </c>
      <c r="G216" s="20" t="str">
        <f>IF('1 - Staff Calendar View'!D$90="-","-",'1 - Staff Calendar View'!D$90)</f>
        <v/>
      </c>
      <c r="H216" s="20" t="str">
        <f t="shared" si="2"/>
        <v>#REF!</v>
      </c>
    </row>
    <row r="217" ht="15.75" customHeight="1">
      <c r="A217" s="20" t="str">
        <f>'1 - Staff Calendar View'!$A$81</f>
        <v>Wk 16</v>
      </c>
      <c r="B217" s="22">
        <f>'1 - Staff Calendar View'!D$80</f>
        <v>46245</v>
      </c>
      <c r="C217" s="20" t="str">
        <f t="shared" si="1"/>
        <v>Tue</v>
      </c>
      <c r="D217" s="20" t="str">
        <f>'1 - Staff Calendar View'!$B$89</f>
        <v>In Person Session</v>
      </c>
      <c r="E217" s="20" t="str">
        <f>VLOOKUP(D217,'1 - Staff Calendar View'!$I$49:$J$51,2,FALSE())</f>
        <v>#N/A</v>
      </c>
      <c r="F217" s="20" t="str">
        <f>'1 - Staff Calendar View'!D$90</f>
        <v/>
      </c>
      <c r="G217" s="20" t="str">
        <f>IF('1 - Staff Calendar View'!D$89="-","-",'1 - Staff Calendar View'!D$89)</f>
        <v/>
      </c>
      <c r="H217" s="20" t="str">
        <f t="shared" si="2"/>
        <v>#REF!</v>
      </c>
    </row>
    <row r="218" ht="15.75" customHeight="1">
      <c r="A218" s="20" t="str">
        <f>'1 - Staff Calendar View'!$A$81</f>
        <v>Wk 16</v>
      </c>
      <c r="B218" s="22">
        <f>'1 - Staff Calendar View'!E$80</f>
        <v>46246</v>
      </c>
      <c r="C218" s="20" t="str">
        <f t="shared" si="1"/>
        <v>Wed</v>
      </c>
      <c r="D218" s="20" t="str">
        <f>'1 - Staff Calendar View'!$B$81</f>
        <v>Clayton Drop-in</v>
      </c>
      <c r="E218" s="20" t="str">
        <f>VLOOKUP(D218,'1 - Staff Calendar View'!$I$49:$J$51,2,FALSE())</f>
        <v>#N/A</v>
      </c>
      <c r="F218" s="20" t="str">
        <f>'1 - Staff Calendar View'!E$81</f>
        <v>Yunsoo</v>
      </c>
      <c r="G218" s="20" t="str">
        <f>IF('1 - Staff Calendar View'!E$83="-","-",'1 - Staff Calendar View'!E$83)</f>
        <v>Omila </v>
      </c>
      <c r="H218" s="20" t="str">
        <f t="shared" si="2"/>
        <v>#REF!</v>
      </c>
    </row>
    <row r="219" ht="15.75" customHeight="1">
      <c r="A219" s="20" t="str">
        <f>'1 - Staff Calendar View'!$A$81</f>
        <v>Wk 16</v>
      </c>
      <c r="B219" s="22">
        <f>'1 - Staff Calendar View'!E$80</f>
        <v>46246</v>
      </c>
      <c r="C219" s="20" t="str">
        <f t="shared" si="1"/>
        <v>Wed</v>
      </c>
      <c r="D219" s="20" t="str">
        <f>'1 - Staff Calendar View'!$B$81</f>
        <v>Clayton Drop-in</v>
      </c>
      <c r="E219" s="20" t="str">
        <f>VLOOKUP(D219,'1 - Staff Calendar View'!$I$49:$J$51,2,FALSE())</f>
        <v>#N/A</v>
      </c>
      <c r="F219" s="20" t="str">
        <f>'1 - Staff Calendar View'!E$83</f>
        <v>Omila </v>
      </c>
      <c r="G219" s="20" t="str">
        <f>IF('1 - Staff Calendar View'!E$81="-","-",'1 - Staff Calendar View'!E$81)</f>
        <v>Yunsoo</v>
      </c>
      <c r="H219" s="20" t="str">
        <f t="shared" si="2"/>
        <v>#REF!</v>
      </c>
    </row>
    <row r="220" ht="15.75" customHeight="1">
      <c r="A220" s="20" t="str">
        <f>'1 - Staff Calendar View'!$A$81</f>
        <v>Wk 16</v>
      </c>
      <c r="B220" s="22">
        <f>'1 - Staff Calendar View'!E$80</f>
        <v>46246</v>
      </c>
      <c r="C220" s="20" t="str">
        <f t="shared" si="1"/>
        <v>Wed</v>
      </c>
      <c r="D220" s="20" t="str">
        <f>'1 - Staff Calendar View'!$B$84</f>
        <v>Caulfield Drop-in</v>
      </c>
      <c r="E220" s="20" t="str">
        <f>VLOOKUP(D220,'1 - Staff Calendar View'!$I$49:$J$51,2,FALSE())</f>
        <v>10:40AM-2:20PM</v>
      </c>
      <c r="F220" s="20" t="str">
        <f>'1 - Staff Calendar View'!E$84</f>
        <v>Jaemin </v>
      </c>
      <c r="G220" s="20" t="str">
        <f>IF('1 - Staff Calendar View'!E$86="-","-",'1 - Staff Calendar View'!E$86)</f>
        <v>Grace</v>
      </c>
      <c r="H220" s="20" t="str">
        <f t="shared" si="2"/>
        <v>#REF!</v>
      </c>
    </row>
    <row r="221" ht="15.75" customHeight="1">
      <c r="A221" s="20" t="str">
        <f>'1 - Staff Calendar View'!$A$81</f>
        <v>Wk 16</v>
      </c>
      <c r="B221" s="22">
        <f>'1 - Staff Calendar View'!E$80</f>
        <v>46246</v>
      </c>
      <c r="C221" s="20" t="str">
        <f t="shared" si="1"/>
        <v>Wed</v>
      </c>
      <c r="D221" s="20" t="str">
        <f>'1 - Staff Calendar View'!$B$84</f>
        <v>Caulfield Drop-in</v>
      </c>
      <c r="E221" s="20" t="str">
        <f>VLOOKUP(D221,'1 - Staff Calendar View'!$I$49:$J$51,2,FALSE())</f>
        <v>10:40AM-2:20PM</v>
      </c>
      <c r="F221" s="20" t="str">
        <f>'1 - Staff Calendar View'!E$86</f>
        <v>Grace</v>
      </c>
      <c r="G221" s="20" t="str">
        <f>IF('1 - Staff Calendar View'!E$84="-","-",'1 - Staff Calendar View'!E$84)</f>
        <v>Jaemin </v>
      </c>
      <c r="H221" s="20" t="str">
        <f t="shared" si="2"/>
        <v>#REF!</v>
      </c>
    </row>
    <row r="222" ht="15.75" customHeight="1">
      <c r="A222" s="20" t="str">
        <f>'1 - Staff Calendar View'!$A$81</f>
        <v>Wk 16</v>
      </c>
      <c r="B222" s="22">
        <f>'1 - Staff Calendar View'!E$80</f>
        <v>46246</v>
      </c>
      <c r="C222" s="20" t="str">
        <f t="shared" si="1"/>
        <v>Wed</v>
      </c>
      <c r="D222" s="20" t="str">
        <f>'1 - Staff Calendar View'!$B$87</f>
        <v>Webinars</v>
      </c>
      <c r="E222" s="20" t="str">
        <f>VLOOKUP(D222,'1 - Staff Calendar View'!$I$49:$J$51,2,FALSE())</f>
        <v>4:00PM-5:00PM</v>
      </c>
      <c r="F222" s="20" t="str">
        <f>'1 - Staff Calendar View'!E$87</f>
        <v/>
      </c>
      <c r="G222" s="20" t="str">
        <f>IF('1 - Staff Calendar View'!E$88="-","-",'1 - Staff Calendar View'!E$88)</f>
        <v/>
      </c>
      <c r="H222" s="20" t="str">
        <f t="shared" si="2"/>
        <v>#REF!</v>
      </c>
    </row>
    <row r="223" ht="15.75" customHeight="1">
      <c r="A223" s="20" t="str">
        <f>'1 - Staff Calendar View'!$A$81</f>
        <v>Wk 16</v>
      </c>
      <c r="B223" s="22">
        <f>'1 - Staff Calendar View'!E$80</f>
        <v>46246</v>
      </c>
      <c r="C223" s="20" t="str">
        <f t="shared" si="1"/>
        <v>Wed</v>
      </c>
      <c r="D223" s="20" t="str">
        <f>'1 - Staff Calendar View'!$B$87</f>
        <v>Webinars</v>
      </c>
      <c r="E223" s="20" t="str">
        <f>VLOOKUP(D223,'1 - Staff Calendar View'!$I$49:$J$51,2,FALSE())</f>
        <v>4:00PM-5:00PM</v>
      </c>
      <c r="F223" s="20" t="str">
        <f>'1 - Staff Calendar View'!E$88</f>
        <v/>
      </c>
      <c r="G223" s="20" t="str">
        <f>IF('1 - Staff Calendar View'!E$87="-","-",'1 - Staff Calendar View'!E$87)</f>
        <v/>
      </c>
      <c r="H223" s="20" t="str">
        <f t="shared" si="2"/>
        <v>#REF!</v>
      </c>
    </row>
    <row r="224" ht="15.75" customHeight="1">
      <c r="A224" s="20" t="str">
        <f>'1 - Staff Calendar View'!$A$81</f>
        <v>Wk 16</v>
      </c>
      <c r="B224" s="22">
        <f>'1 - Staff Calendar View'!E$80</f>
        <v>46246</v>
      </c>
      <c r="C224" s="20" t="str">
        <f t="shared" si="1"/>
        <v>Wed</v>
      </c>
      <c r="D224" s="20" t="str">
        <f>'1 - Staff Calendar View'!$B$89</f>
        <v>In Person Session</v>
      </c>
      <c r="E224" s="20" t="str">
        <f>VLOOKUP(D224,'1 - Staff Calendar View'!$I$49:$J$51,2,FALSE())</f>
        <v>#N/A</v>
      </c>
      <c r="F224" s="20" t="str">
        <f>'1 - Staff Calendar View'!E$89</f>
        <v/>
      </c>
      <c r="G224" s="20" t="str">
        <f>IF('1 - Staff Calendar View'!E$90="-","-",'1 - Staff Calendar View'!E$90)</f>
        <v/>
      </c>
      <c r="H224" s="20" t="str">
        <f t="shared" si="2"/>
        <v>#REF!</v>
      </c>
    </row>
    <row r="225" ht="15.75" customHeight="1">
      <c r="A225" s="20" t="str">
        <f>'1 - Staff Calendar View'!$A$81</f>
        <v>Wk 16</v>
      </c>
      <c r="B225" s="22">
        <f>'1 - Staff Calendar View'!E$80</f>
        <v>46246</v>
      </c>
      <c r="C225" s="20" t="str">
        <f t="shared" si="1"/>
        <v>Wed</v>
      </c>
      <c r="D225" s="20" t="str">
        <f>'1 - Staff Calendar View'!$B$89</f>
        <v>In Person Session</v>
      </c>
      <c r="E225" s="20" t="str">
        <f>VLOOKUP(D225,'1 - Staff Calendar View'!$I$49:$J$51,2,FALSE())</f>
        <v>#N/A</v>
      </c>
      <c r="F225" s="20" t="str">
        <f>'1 - Staff Calendar View'!E$90</f>
        <v/>
      </c>
      <c r="G225" s="20" t="str">
        <f>IF('1 - Staff Calendar View'!E$89="-","-",'1 - Staff Calendar View'!E$89)</f>
        <v/>
      </c>
      <c r="H225" s="20" t="str">
        <f t="shared" si="2"/>
        <v>#REF!</v>
      </c>
    </row>
    <row r="226" ht="15.75" customHeight="1">
      <c r="A226" s="20" t="str">
        <f>'1 - Staff Calendar View'!$A$81</f>
        <v>Wk 16</v>
      </c>
      <c r="B226" s="22">
        <f>'1 - Staff Calendar View'!F$80</f>
        <v>46247</v>
      </c>
      <c r="C226" s="20" t="str">
        <f t="shared" si="1"/>
        <v>Thu</v>
      </c>
      <c r="D226" s="20" t="str">
        <f>'1 - Staff Calendar View'!$B$81</f>
        <v>Clayton Drop-in</v>
      </c>
      <c r="E226" s="20" t="str">
        <f>VLOOKUP(D226,'1 - Staff Calendar View'!$I$49:$J$51,2,FALSE())</f>
        <v>#N/A</v>
      </c>
      <c r="F226" s="20" t="str">
        <f>'1 - Staff Calendar View'!F$81</f>
        <v>Hailey</v>
      </c>
      <c r="G226" s="20" t="str">
        <f>IF('1 - Staff Calendar View'!F$83="-","-",'1 - Staff Calendar View'!F$83)</f>
        <v/>
      </c>
      <c r="H226" s="20" t="str">
        <f t="shared" si="2"/>
        <v>#REF!</v>
      </c>
    </row>
    <row r="227" ht="15.75" customHeight="1">
      <c r="A227" s="20" t="str">
        <f>'1 - Staff Calendar View'!$A$81</f>
        <v>Wk 16</v>
      </c>
      <c r="B227" s="22">
        <f>'1 - Staff Calendar View'!F$80</f>
        <v>46247</v>
      </c>
      <c r="C227" s="20" t="str">
        <f t="shared" si="1"/>
        <v>Thu</v>
      </c>
      <c r="D227" s="20" t="str">
        <f>'1 - Staff Calendar View'!$B$81</f>
        <v>Clayton Drop-in</v>
      </c>
      <c r="E227" s="20" t="str">
        <f>VLOOKUP(D227,'1 - Staff Calendar View'!$I$49:$J$51,2,FALSE())</f>
        <v>#N/A</v>
      </c>
      <c r="F227" s="20" t="str">
        <f>'1 - Staff Calendar View'!F$83</f>
        <v/>
      </c>
      <c r="G227" s="20" t="str">
        <f>IF('1 - Staff Calendar View'!F$81="-","-",'1 - Staff Calendar View'!F$81)</f>
        <v>Hailey</v>
      </c>
      <c r="H227" s="20" t="str">
        <f t="shared" si="2"/>
        <v>#REF!</v>
      </c>
    </row>
    <row r="228" ht="15.75" customHeight="1">
      <c r="A228" s="20" t="str">
        <f>'1 - Staff Calendar View'!$A$81</f>
        <v>Wk 16</v>
      </c>
      <c r="B228" s="22">
        <f>'1 - Staff Calendar View'!F$80</f>
        <v>46247</v>
      </c>
      <c r="C228" s="20" t="str">
        <f t="shared" si="1"/>
        <v>Thu</v>
      </c>
      <c r="D228" s="20" t="str">
        <f>'1 - Staff Calendar View'!$B$84</f>
        <v>Caulfield Drop-in</v>
      </c>
      <c r="E228" s="20" t="str">
        <f>VLOOKUP(D228,'1 - Staff Calendar View'!$I$49:$J$51,2,FALSE())</f>
        <v>10:40AM-2:20PM</v>
      </c>
      <c r="F228" s="20" t="str">
        <f>'1 - Staff Calendar View'!F$84</f>
        <v>Omila </v>
      </c>
      <c r="G228" s="20" t="str">
        <f>IF('1 - Staff Calendar View'!F$86="-","-",'1 - Staff Calendar View'!F$86)</f>
        <v>Sener </v>
      </c>
      <c r="H228" s="20" t="str">
        <f t="shared" si="2"/>
        <v>#REF!</v>
      </c>
    </row>
    <row r="229" ht="15.75" customHeight="1">
      <c r="A229" s="20" t="str">
        <f>'1 - Staff Calendar View'!$A$81</f>
        <v>Wk 16</v>
      </c>
      <c r="B229" s="22">
        <f>'1 - Staff Calendar View'!F$80</f>
        <v>46247</v>
      </c>
      <c r="C229" s="20" t="str">
        <f t="shared" si="1"/>
        <v>Thu</v>
      </c>
      <c r="D229" s="20" t="str">
        <f>'1 - Staff Calendar View'!$B$84</f>
        <v>Caulfield Drop-in</v>
      </c>
      <c r="E229" s="20" t="str">
        <f>VLOOKUP(D229,'1 - Staff Calendar View'!$I$49:$J$51,2,FALSE())</f>
        <v>10:40AM-2:20PM</v>
      </c>
      <c r="F229" s="20" t="str">
        <f>'1 - Staff Calendar View'!F$86</f>
        <v>Sener </v>
      </c>
      <c r="G229" s="20" t="str">
        <f>IF('1 - Staff Calendar View'!F$84="-","-",'1 - Staff Calendar View'!F$84)</f>
        <v>Omila </v>
      </c>
      <c r="H229" s="20" t="str">
        <f t="shared" si="2"/>
        <v>#REF!</v>
      </c>
    </row>
    <row r="230" ht="15.75" customHeight="1">
      <c r="A230" s="20" t="str">
        <f>'1 - Staff Calendar View'!$A$81</f>
        <v>Wk 16</v>
      </c>
      <c r="B230" s="22">
        <f>'1 - Staff Calendar View'!F$80</f>
        <v>46247</v>
      </c>
      <c r="C230" s="20" t="str">
        <f t="shared" si="1"/>
        <v>Thu</v>
      </c>
      <c r="D230" s="20" t="str">
        <f>'1 - Staff Calendar View'!$B$87</f>
        <v>Webinars</v>
      </c>
      <c r="E230" s="20" t="str">
        <f>VLOOKUP(D230,'1 - Staff Calendar View'!$I$49:$J$51,2,FALSE())</f>
        <v>4:00PM-5:00PM</v>
      </c>
      <c r="F230" s="20" t="str">
        <f>'1 - Staff Calendar View'!F$87</f>
        <v/>
      </c>
      <c r="G230" s="20" t="str">
        <f>IF('1 - Staff Calendar View'!F$88="-","-",'1 - Staff Calendar View'!F$88)</f>
        <v/>
      </c>
      <c r="H230" s="20" t="str">
        <f t="shared" si="2"/>
        <v>#REF!</v>
      </c>
    </row>
    <row r="231" ht="15.75" customHeight="1">
      <c r="A231" s="20" t="str">
        <f>'1 - Staff Calendar View'!$A$81</f>
        <v>Wk 16</v>
      </c>
      <c r="B231" s="22">
        <f>'1 - Staff Calendar View'!F$80</f>
        <v>46247</v>
      </c>
      <c r="C231" s="20" t="str">
        <f t="shared" si="1"/>
        <v>Thu</v>
      </c>
      <c r="D231" s="20" t="str">
        <f>'1 - Staff Calendar View'!$B$87</f>
        <v>Webinars</v>
      </c>
      <c r="E231" s="20" t="str">
        <f>VLOOKUP(D231,'1 - Staff Calendar View'!$I$49:$J$51,2,FALSE())</f>
        <v>4:00PM-5:00PM</v>
      </c>
      <c r="F231" s="20" t="str">
        <f>'1 - Staff Calendar View'!F$88</f>
        <v/>
      </c>
      <c r="G231" s="20" t="str">
        <f>IF('1 - Staff Calendar View'!F$87="-","-",'1 - Staff Calendar View'!F$87)</f>
        <v/>
      </c>
      <c r="H231" s="20" t="str">
        <f t="shared" si="2"/>
        <v>#REF!</v>
      </c>
    </row>
    <row r="232" ht="15.75" customHeight="1">
      <c r="A232" s="20" t="str">
        <f>'1 - Staff Calendar View'!$A$81</f>
        <v>Wk 16</v>
      </c>
      <c r="B232" s="22">
        <f>'1 - Staff Calendar View'!F$80</f>
        <v>46247</v>
      </c>
      <c r="C232" s="20" t="str">
        <f t="shared" si="1"/>
        <v>Thu</v>
      </c>
      <c r="D232" s="20" t="str">
        <f>'1 - Staff Calendar View'!$B$89</f>
        <v>In Person Session</v>
      </c>
      <c r="E232" s="20" t="str">
        <f>VLOOKUP(D232,'1 - Staff Calendar View'!$I$49:$J$51,2,FALSE())</f>
        <v>#N/A</v>
      </c>
      <c r="F232" s="20" t="str">
        <f>'1 - Staff Calendar View'!F$89</f>
        <v/>
      </c>
      <c r="G232" s="20" t="str">
        <f>IF('1 - Staff Calendar View'!F$90="-","-",'1 - Staff Calendar View'!F$90)</f>
        <v/>
      </c>
      <c r="H232" s="20" t="str">
        <f t="shared" si="2"/>
        <v>#REF!</v>
      </c>
    </row>
    <row r="233" ht="15.75" customHeight="1">
      <c r="A233" s="20" t="str">
        <f>'1 - Staff Calendar View'!$A$81</f>
        <v>Wk 16</v>
      </c>
      <c r="B233" s="22">
        <f>'1 - Staff Calendar View'!F$80</f>
        <v>46247</v>
      </c>
      <c r="C233" s="20" t="str">
        <f t="shared" si="1"/>
        <v>Thu</v>
      </c>
      <c r="D233" s="20" t="str">
        <f>'1 - Staff Calendar View'!$B$89</f>
        <v>In Person Session</v>
      </c>
      <c r="E233" s="20" t="str">
        <f>VLOOKUP(D233,'1 - Staff Calendar View'!$I$49:$J$51,2,FALSE())</f>
        <v>#N/A</v>
      </c>
      <c r="F233" s="20" t="str">
        <f>'1 - Staff Calendar View'!F$90</f>
        <v/>
      </c>
      <c r="G233" s="20" t="str">
        <f>IF('1 - Staff Calendar View'!F$89="-","-",'1 - Staff Calendar View'!F$89)</f>
        <v/>
      </c>
      <c r="H233" s="20" t="str">
        <f t="shared" si="2"/>
        <v>#REF!</v>
      </c>
    </row>
    <row r="234" ht="15.75" customHeight="1">
      <c r="A234" s="20" t="str">
        <f>'1 - Staff Calendar View'!$A$81</f>
        <v>Wk 16</v>
      </c>
      <c r="B234" s="22">
        <f>'1 - Staff Calendar View'!G$80</f>
        <v>46248</v>
      </c>
      <c r="C234" s="20" t="str">
        <f t="shared" si="1"/>
        <v>Fri</v>
      </c>
      <c r="D234" s="20" t="str">
        <f>'1 - Staff Calendar View'!$B$81</f>
        <v>Clayton Drop-in</v>
      </c>
      <c r="E234" s="20" t="str">
        <f>VLOOKUP(D234,'1 - Staff Calendar View'!$I$49:$J$51,2,FALSE())</f>
        <v>#N/A</v>
      </c>
      <c r="F234" s="20" t="str">
        <f>'1 - Staff Calendar View'!G$81</f>
        <v/>
      </c>
      <c r="G234" s="20" t="str">
        <f>IF('1 - Staff Calendar View'!G$83="-","-",'1 - Staff Calendar View'!G$83)</f>
        <v/>
      </c>
      <c r="H234" s="20" t="str">
        <f t="shared" si="2"/>
        <v>#REF!</v>
      </c>
    </row>
    <row r="235" ht="15.75" customHeight="1">
      <c r="A235" s="20" t="str">
        <f>'1 - Staff Calendar View'!$A$81</f>
        <v>Wk 16</v>
      </c>
      <c r="B235" s="22">
        <f>'1 - Staff Calendar View'!G$80</f>
        <v>46248</v>
      </c>
      <c r="C235" s="20" t="str">
        <f t="shared" si="1"/>
        <v>Fri</v>
      </c>
      <c r="D235" s="20" t="str">
        <f>'1 - Staff Calendar View'!$B$81</f>
        <v>Clayton Drop-in</v>
      </c>
      <c r="E235" s="20" t="str">
        <f>VLOOKUP(D235,'1 - Staff Calendar View'!$I$49:$J$51,2,FALSE())</f>
        <v>#N/A</v>
      </c>
      <c r="F235" s="20" t="str">
        <f>'1 - Staff Calendar View'!G$83</f>
        <v/>
      </c>
      <c r="G235" s="20" t="str">
        <f>IF('1 - Staff Calendar View'!G$81="-","-",'1 - Staff Calendar View'!G$81)</f>
        <v/>
      </c>
      <c r="H235" s="20" t="str">
        <f t="shared" si="2"/>
        <v>#REF!</v>
      </c>
    </row>
    <row r="236" ht="15.75" customHeight="1">
      <c r="A236" s="20" t="str">
        <f>'1 - Staff Calendar View'!$A$81</f>
        <v>Wk 16</v>
      </c>
      <c r="B236" s="22">
        <f>'1 - Staff Calendar View'!G$80</f>
        <v>46248</v>
      </c>
      <c r="C236" s="20" t="str">
        <f t="shared" si="1"/>
        <v>Fri</v>
      </c>
      <c r="D236" s="20" t="str">
        <f>'1 - Staff Calendar View'!$B$84</f>
        <v>Caulfield Drop-in</v>
      </c>
      <c r="E236" s="20" t="str">
        <f>VLOOKUP(D236,'1 - Staff Calendar View'!$I$49:$J$51,2,FALSE())</f>
        <v>10:40AM-2:20PM</v>
      </c>
      <c r="F236" s="20" t="str">
        <f>'1 - Staff Calendar View'!G$84</f>
        <v/>
      </c>
      <c r="G236" s="20" t="str">
        <f>IF('1 - Staff Calendar View'!G$86="-","-",'1 - Staff Calendar View'!G$86)</f>
        <v/>
      </c>
      <c r="H236" s="20" t="str">
        <f t="shared" si="2"/>
        <v>#REF!</v>
      </c>
    </row>
    <row r="237" ht="15.75" customHeight="1">
      <c r="A237" s="20" t="str">
        <f>'1 - Staff Calendar View'!$A$81</f>
        <v>Wk 16</v>
      </c>
      <c r="B237" s="22">
        <f>'1 - Staff Calendar View'!G$80</f>
        <v>46248</v>
      </c>
      <c r="C237" s="20" t="str">
        <f t="shared" si="1"/>
        <v>Fri</v>
      </c>
      <c r="D237" s="20" t="str">
        <f>'1 - Staff Calendar View'!$B$84</f>
        <v>Caulfield Drop-in</v>
      </c>
      <c r="E237" s="20" t="str">
        <f>VLOOKUP(D237,'1 - Staff Calendar View'!$I$49:$J$51,2,FALSE())</f>
        <v>10:40AM-2:20PM</v>
      </c>
      <c r="F237" s="20" t="str">
        <f>'1 - Staff Calendar View'!G$86</f>
        <v/>
      </c>
      <c r="G237" s="20" t="str">
        <f>IF('1 - Staff Calendar View'!G$84="-","-",'1 - Staff Calendar View'!G$84)</f>
        <v/>
      </c>
      <c r="H237" s="20" t="str">
        <f t="shared" si="2"/>
        <v>#REF!</v>
      </c>
    </row>
    <row r="238" ht="15.75" customHeight="1">
      <c r="A238" s="20" t="str">
        <f>'1 - Staff Calendar View'!$A$81</f>
        <v>Wk 16</v>
      </c>
      <c r="B238" s="22">
        <f>'1 - Staff Calendar View'!G$80</f>
        <v>46248</v>
      </c>
      <c r="C238" s="20" t="str">
        <f t="shared" si="1"/>
        <v>Fri</v>
      </c>
      <c r="D238" s="20" t="str">
        <f>'1 - Staff Calendar View'!$B$87</f>
        <v>Webinars</v>
      </c>
      <c r="E238" s="20" t="str">
        <f>VLOOKUP(D238,'1 - Staff Calendar View'!$I$49:$J$51,2,FALSE())</f>
        <v>4:00PM-5:00PM</v>
      </c>
      <c r="F238" s="20" t="str">
        <f>'1 - Staff Calendar View'!G$87</f>
        <v/>
      </c>
      <c r="G238" s="20" t="str">
        <f>IF('1 - Staff Calendar View'!G$88="-","-",'1 - Staff Calendar View'!G$88)</f>
        <v/>
      </c>
      <c r="H238" s="20" t="str">
        <f t="shared" si="2"/>
        <v>#REF!</v>
      </c>
    </row>
    <row r="239" ht="15.75" customHeight="1">
      <c r="A239" s="20" t="str">
        <f>'1 - Staff Calendar View'!$A$81</f>
        <v>Wk 16</v>
      </c>
      <c r="B239" s="22">
        <f>'1 - Staff Calendar View'!G$80</f>
        <v>46248</v>
      </c>
      <c r="C239" s="20" t="str">
        <f t="shared" si="1"/>
        <v>Fri</v>
      </c>
      <c r="D239" s="20" t="str">
        <f>'1 - Staff Calendar View'!$B$87</f>
        <v>Webinars</v>
      </c>
      <c r="E239" s="20" t="str">
        <f>VLOOKUP(D239,'1 - Staff Calendar View'!$I$49:$J$51,2,FALSE())</f>
        <v>4:00PM-5:00PM</v>
      </c>
      <c r="F239" s="20" t="str">
        <f>'1 - Staff Calendar View'!G$88</f>
        <v/>
      </c>
      <c r="G239" s="20" t="str">
        <f>IF('1 - Staff Calendar View'!G$87="-","-",'1 - Staff Calendar View'!G$87)</f>
        <v/>
      </c>
      <c r="H239" s="20" t="str">
        <f t="shared" si="2"/>
        <v>#REF!</v>
      </c>
    </row>
    <row r="240" ht="15.75" customHeight="1">
      <c r="A240" s="20" t="str">
        <f>'1 - Staff Calendar View'!$A$81</f>
        <v>Wk 16</v>
      </c>
      <c r="B240" s="22">
        <f>'1 - Staff Calendar View'!G$80</f>
        <v>46248</v>
      </c>
      <c r="C240" s="20" t="str">
        <f t="shared" si="1"/>
        <v>Fri</v>
      </c>
      <c r="D240" s="20" t="str">
        <f>'1 - Staff Calendar View'!$B$89</f>
        <v>In Person Session</v>
      </c>
      <c r="E240" s="20" t="str">
        <f>VLOOKUP(D240,'1 - Staff Calendar View'!$I$49:$J$51,2,FALSE())</f>
        <v>#N/A</v>
      </c>
      <c r="F240" s="20" t="str">
        <f>'1 - Staff Calendar View'!G$89</f>
        <v/>
      </c>
      <c r="G240" s="20" t="str">
        <f>IF('1 - Staff Calendar View'!G$90="-","-",'1 - Staff Calendar View'!G$90)</f>
        <v/>
      </c>
      <c r="H240" s="20" t="str">
        <f t="shared" si="2"/>
        <v>#REF!</v>
      </c>
    </row>
    <row r="241" ht="15.75" customHeight="1">
      <c r="A241" s="20" t="str">
        <f>'1 - Staff Calendar View'!$A$81</f>
        <v>Wk 16</v>
      </c>
      <c r="B241" s="22">
        <f>'1 - Staff Calendar View'!G$80</f>
        <v>46248</v>
      </c>
      <c r="C241" s="20" t="str">
        <f t="shared" si="1"/>
        <v>Fri</v>
      </c>
      <c r="D241" s="20" t="str">
        <f>'1 - Staff Calendar View'!$B$89</f>
        <v>In Person Session</v>
      </c>
      <c r="E241" s="20" t="str">
        <f>VLOOKUP(D241,'1 - Staff Calendar View'!$I$49:$J$51,2,FALSE())</f>
        <v>#N/A</v>
      </c>
      <c r="F241" s="20" t="str">
        <f>'1 - Staff Calendar View'!G$90</f>
        <v/>
      </c>
      <c r="G241" s="20" t="str">
        <f>IF('1 - Staff Calendar View'!G$89="-","-",'1 - Staff Calendar View'!G$89)</f>
        <v/>
      </c>
      <c r="H241" s="20" t="str">
        <f t="shared" si="2"/>
        <v>#REF!</v>
      </c>
    </row>
    <row r="242" ht="15.75" customHeight="1">
      <c r="A242" s="20" t="str">
        <f>'1 - Staff Calendar View'!$A$94</f>
        <v>Wk 17</v>
      </c>
      <c r="B242" s="22">
        <f>'1 - Staff Calendar View'!C$93</f>
        <v>46251</v>
      </c>
      <c r="C242" s="20" t="str">
        <f t="shared" si="1"/>
        <v>Mon</v>
      </c>
      <c r="D242" s="20" t="str">
        <f>'1 - Staff Calendar View'!$B$94</f>
        <v>Clayton Drop-in</v>
      </c>
      <c r="E242" s="20" t="str">
        <f>VLOOKUP(D242,'1 - Staff Calendar View'!$I$49:$J$51,2,FALSE())</f>
        <v>#N/A</v>
      </c>
      <c r="F242" s="20" t="str">
        <f>'1 - Staff Calendar View'!C$94</f>
        <v/>
      </c>
      <c r="G242" s="20" t="str">
        <f>IF('1 - Staff Calendar View'!C$95="-","-",'1 - Staff Calendar View'!C$95)</f>
        <v/>
      </c>
      <c r="H242" s="20" t="str">
        <f t="shared" si="2"/>
        <v>#REF!</v>
      </c>
    </row>
    <row r="243" ht="15.75" customHeight="1">
      <c r="A243" s="20" t="str">
        <f>'1 - Staff Calendar View'!$A$94</f>
        <v>Wk 17</v>
      </c>
      <c r="B243" s="22">
        <f>'1 - Staff Calendar View'!C$93</f>
        <v>46251</v>
      </c>
      <c r="C243" s="20" t="str">
        <f t="shared" si="1"/>
        <v>Mon</v>
      </c>
      <c r="D243" s="20" t="str">
        <f>'1 - Staff Calendar View'!$B$94</f>
        <v>Clayton Drop-in</v>
      </c>
      <c r="E243" s="20" t="str">
        <f>VLOOKUP(D243,'1 - Staff Calendar View'!$I$49:$J$51,2,FALSE())</f>
        <v>#N/A</v>
      </c>
      <c r="F243" s="20" t="str">
        <f>'1 - Staff Calendar View'!C$95</f>
        <v/>
      </c>
      <c r="G243" s="20" t="str">
        <f>IF('1 - Staff Calendar View'!C$94="-","-",'1 - Staff Calendar View'!C$94)</f>
        <v/>
      </c>
      <c r="H243" s="20" t="str">
        <f t="shared" si="2"/>
        <v>#REF!</v>
      </c>
    </row>
    <row r="244" ht="15.75" customHeight="1">
      <c r="A244" s="20" t="str">
        <f>'1 - Staff Calendar View'!$A$94</f>
        <v>Wk 17</v>
      </c>
      <c r="B244" s="22">
        <f>'1 - Staff Calendar View'!C$93</f>
        <v>46251</v>
      </c>
      <c r="C244" s="20" t="str">
        <f t="shared" si="1"/>
        <v>Mon</v>
      </c>
      <c r="D244" s="20" t="str">
        <f>'1 - Staff Calendar View'!$B$96</f>
        <v>Caulfield Drop-in</v>
      </c>
      <c r="E244" s="20" t="str">
        <f>VLOOKUP(D244,'1 - Staff Calendar View'!$I$49:$J$51,2,FALSE())</f>
        <v>10:40AM-2:20PM</v>
      </c>
      <c r="F244" s="20" t="str">
        <f>'1 - Staff Calendar View'!C$96</f>
        <v/>
      </c>
      <c r="G244" s="20" t="str">
        <f>IF('1 - Staff Calendar View'!C$97="-","-",'1 - Staff Calendar View'!C$97)</f>
        <v/>
      </c>
      <c r="H244" s="20" t="str">
        <f t="shared" si="2"/>
        <v>#REF!</v>
      </c>
    </row>
    <row r="245" ht="15.75" customHeight="1">
      <c r="A245" s="20" t="str">
        <f>'1 - Staff Calendar View'!$A$94</f>
        <v>Wk 17</v>
      </c>
      <c r="B245" s="22">
        <f>'1 - Staff Calendar View'!C$93</f>
        <v>46251</v>
      </c>
      <c r="C245" s="20" t="str">
        <f t="shared" si="1"/>
        <v>Mon</v>
      </c>
      <c r="D245" s="20" t="str">
        <f>'1 - Staff Calendar View'!$B$96</f>
        <v>Caulfield Drop-in</v>
      </c>
      <c r="E245" s="20" t="str">
        <f>VLOOKUP(D245,'1 - Staff Calendar View'!$I$49:$J$51,2,FALSE())</f>
        <v>10:40AM-2:20PM</v>
      </c>
      <c r="F245" s="20" t="str">
        <f>'1 - Staff Calendar View'!C$97</f>
        <v/>
      </c>
      <c r="G245" s="20" t="str">
        <f>IF('1 - Staff Calendar View'!C$96="-","-",'1 - Staff Calendar View'!C$96)</f>
        <v/>
      </c>
      <c r="H245" s="20" t="str">
        <f t="shared" si="2"/>
        <v>#REF!</v>
      </c>
    </row>
    <row r="246" ht="15.75" customHeight="1">
      <c r="A246" s="20" t="str">
        <f>'1 - Staff Calendar View'!$A$94</f>
        <v>Wk 17</v>
      </c>
      <c r="B246" s="22">
        <f>'1 - Staff Calendar View'!C$93</f>
        <v>46251</v>
      </c>
      <c r="C246" s="20" t="str">
        <f t="shared" si="1"/>
        <v>Mon</v>
      </c>
      <c r="D246" s="20" t="str">
        <f>'1 - Staff Calendar View'!$B$98</f>
        <v>Webinars</v>
      </c>
      <c r="E246" s="20" t="str">
        <f>VLOOKUP(D246,'1 - Staff Calendar View'!$I$49:$J$51,2,FALSE())</f>
        <v>4:00PM-5:00PM</v>
      </c>
      <c r="F246" s="20" t="str">
        <f>'1 - Staff Calendar View'!C$98</f>
        <v/>
      </c>
      <c r="G246" s="20" t="str">
        <f>IF('1 - Staff Calendar View'!C$99="-","-",'1 - Staff Calendar View'!C$99)</f>
        <v/>
      </c>
      <c r="H246" s="20" t="str">
        <f t="shared" si="2"/>
        <v>#REF!</v>
      </c>
    </row>
    <row r="247" ht="15.75" customHeight="1">
      <c r="A247" s="20" t="str">
        <f>'1 - Staff Calendar View'!$A$94</f>
        <v>Wk 17</v>
      </c>
      <c r="B247" s="22">
        <f>'1 - Staff Calendar View'!C$93</f>
        <v>46251</v>
      </c>
      <c r="C247" s="20" t="str">
        <f t="shared" si="1"/>
        <v>Mon</v>
      </c>
      <c r="D247" s="20" t="str">
        <f>'1 - Staff Calendar View'!$B$98</f>
        <v>Webinars</v>
      </c>
      <c r="E247" s="20" t="str">
        <f>VLOOKUP(D247,'1 - Staff Calendar View'!$I$49:$J$51,2,FALSE())</f>
        <v>4:00PM-5:00PM</v>
      </c>
      <c r="F247" s="20" t="str">
        <f>'1 - Staff Calendar View'!C$99</f>
        <v/>
      </c>
      <c r="G247" s="20" t="str">
        <f>IF('1 - Staff Calendar View'!C$98="-","-",'1 - Staff Calendar View'!C$98)</f>
        <v/>
      </c>
      <c r="H247" s="20" t="str">
        <f t="shared" si="2"/>
        <v>#REF!</v>
      </c>
    </row>
    <row r="248" ht="15.75" customHeight="1">
      <c r="A248" s="20" t="str">
        <f>'1 - Staff Calendar View'!$A$94</f>
        <v>Wk 17</v>
      </c>
      <c r="B248" s="22">
        <f>'1 - Staff Calendar View'!C$93</f>
        <v>46251</v>
      </c>
      <c r="C248" s="20" t="str">
        <f t="shared" si="1"/>
        <v>Mon</v>
      </c>
      <c r="D248" s="20" t="str">
        <f>'1 - Staff Calendar View'!$B$100</f>
        <v>In Person Session</v>
      </c>
      <c r="E248" s="20" t="str">
        <f>VLOOKUP(D248,'1 - Staff Calendar View'!$I$49:$J$51,2,FALSE())</f>
        <v>#N/A</v>
      </c>
      <c r="F248" s="20" t="str">
        <f>'1 - Staff Calendar View'!C$100</f>
        <v/>
      </c>
      <c r="G248" s="20" t="str">
        <f>IF('1 - Staff Calendar View'!C$101="-","-",'1 - Staff Calendar View'!C$101)</f>
        <v/>
      </c>
      <c r="H248" s="20" t="str">
        <f t="shared" si="2"/>
        <v>#REF!</v>
      </c>
    </row>
    <row r="249" ht="15.75" customHeight="1">
      <c r="A249" s="20" t="str">
        <f>'1 - Staff Calendar View'!$A$94</f>
        <v>Wk 17</v>
      </c>
      <c r="B249" s="22">
        <f>'1 - Staff Calendar View'!C$93</f>
        <v>46251</v>
      </c>
      <c r="C249" s="20" t="str">
        <f t="shared" si="1"/>
        <v>Mon</v>
      </c>
      <c r="D249" s="20" t="str">
        <f>'1 - Staff Calendar View'!$B$100</f>
        <v>In Person Session</v>
      </c>
      <c r="E249" s="20" t="str">
        <f>VLOOKUP(D249,'1 - Staff Calendar View'!$I$49:$J$51,2,FALSE())</f>
        <v>#N/A</v>
      </c>
      <c r="F249" s="20" t="str">
        <f>'1 - Staff Calendar View'!C$101</f>
        <v/>
      </c>
      <c r="G249" s="20" t="str">
        <f>IF('1 - Staff Calendar View'!C$100="-","-",'1 - Staff Calendar View'!C$100)</f>
        <v/>
      </c>
      <c r="H249" s="20" t="str">
        <f t="shared" si="2"/>
        <v>#REF!</v>
      </c>
    </row>
    <row r="250" ht="15.75" customHeight="1">
      <c r="A250" s="20" t="str">
        <f>'1 - Staff Calendar View'!$A$94</f>
        <v>Wk 17</v>
      </c>
      <c r="B250" s="22">
        <f>'1 - Staff Calendar View'!D$93</f>
        <v>46252</v>
      </c>
      <c r="C250" s="20" t="str">
        <f t="shared" si="1"/>
        <v>Tue</v>
      </c>
      <c r="D250" s="20" t="str">
        <f>'1 - Staff Calendar View'!$B$94</f>
        <v>Clayton Drop-in</v>
      </c>
      <c r="E250" s="20" t="str">
        <f>VLOOKUP(D250,'1 - Staff Calendar View'!$I$49:$J$51,2,FALSE())</f>
        <v>#N/A</v>
      </c>
      <c r="F250" s="20" t="str">
        <f>'1 - Staff Calendar View'!D$94</f>
        <v/>
      </c>
      <c r="G250" s="20" t="str">
        <f>IF('1 - Staff Calendar View'!D$95="-","-",'1 - Staff Calendar View'!D$95)</f>
        <v/>
      </c>
      <c r="H250" s="20" t="str">
        <f t="shared" si="2"/>
        <v>#REF!</v>
      </c>
    </row>
    <row r="251" ht="15.75" customHeight="1">
      <c r="A251" s="20" t="str">
        <f>'1 - Staff Calendar View'!$A$94</f>
        <v>Wk 17</v>
      </c>
      <c r="B251" s="22">
        <f>'1 - Staff Calendar View'!D$93</f>
        <v>46252</v>
      </c>
      <c r="C251" s="20" t="str">
        <f t="shared" si="1"/>
        <v>Tue</v>
      </c>
      <c r="D251" s="20" t="str">
        <f>'1 - Staff Calendar View'!$B$94</f>
        <v>Clayton Drop-in</v>
      </c>
      <c r="E251" s="20" t="str">
        <f>VLOOKUP(D251,'1 - Staff Calendar View'!$I$49:$J$51,2,FALSE())</f>
        <v>#N/A</v>
      </c>
      <c r="F251" s="20" t="str">
        <f>'1 - Staff Calendar View'!D$95</f>
        <v/>
      </c>
      <c r="G251" s="20" t="str">
        <f>IF('1 - Staff Calendar View'!D$94="-","-",'1 - Staff Calendar View'!D$94)</f>
        <v/>
      </c>
      <c r="H251" s="20" t="str">
        <f t="shared" si="2"/>
        <v>#REF!</v>
      </c>
    </row>
    <row r="252" ht="15.75" customHeight="1">
      <c r="A252" s="20" t="str">
        <f>'1 - Staff Calendar View'!$A$94</f>
        <v>Wk 17</v>
      </c>
      <c r="B252" s="22">
        <f>'1 - Staff Calendar View'!D$93</f>
        <v>46252</v>
      </c>
      <c r="C252" s="20" t="str">
        <f t="shared" si="1"/>
        <v>Tue</v>
      </c>
      <c r="D252" s="20" t="str">
        <f>'1 - Staff Calendar View'!$B$96</f>
        <v>Caulfield Drop-in</v>
      </c>
      <c r="E252" s="20" t="str">
        <f>VLOOKUP(D252,'1 - Staff Calendar View'!$I$49:$J$51,2,FALSE())</f>
        <v>10:40AM-2:20PM</v>
      </c>
      <c r="F252" s="20" t="str">
        <f>'1 - Staff Calendar View'!D$96</f>
        <v/>
      </c>
      <c r="G252" s="20" t="str">
        <f>IF('1 - Staff Calendar View'!D$97="-","-",'1 - Staff Calendar View'!D$97)</f>
        <v/>
      </c>
      <c r="H252" s="20" t="str">
        <f t="shared" si="2"/>
        <v>#REF!</v>
      </c>
    </row>
    <row r="253" ht="15.75" customHeight="1">
      <c r="A253" s="20" t="str">
        <f>'1 - Staff Calendar View'!$A$94</f>
        <v>Wk 17</v>
      </c>
      <c r="B253" s="22">
        <f>'1 - Staff Calendar View'!D$93</f>
        <v>46252</v>
      </c>
      <c r="C253" s="20" t="str">
        <f t="shared" si="1"/>
        <v>Tue</v>
      </c>
      <c r="D253" s="20" t="str">
        <f>'1 - Staff Calendar View'!$B$96</f>
        <v>Caulfield Drop-in</v>
      </c>
      <c r="E253" s="20" t="str">
        <f>VLOOKUP(D253,'1 - Staff Calendar View'!$I$49:$J$51,2,FALSE())</f>
        <v>10:40AM-2:20PM</v>
      </c>
      <c r="F253" s="20" t="str">
        <f>'1 - Staff Calendar View'!D$97</f>
        <v/>
      </c>
      <c r="G253" s="20" t="str">
        <f>IF('1 - Staff Calendar View'!D$96="-","-",'1 - Staff Calendar View'!D$96)</f>
        <v/>
      </c>
      <c r="H253" s="20" t="str">
        <f t="shared" si="2"/>
        <v>#REF!</v>
      </c>
    </row>
    <row r="254" ht="15.75" customHeight="1">
      <c r="A254" s="20" t="str">
        <f>'1 - Staff Calendar View'!$A$94</f>
        <v>Wk 17</v>
      </c>
      <c r="B254" s="22">
        <f>'1 - Staff Calendar View'!D$93</f>
        <v>46252</v>
      </c>
      <c r="C254" s="20" t="str">
        <f t="shared" si="1"/>
        <v>Tue</v>
      </c>
      <c r="D254" s="20" t="str">
        <f>'1 - Staff Calendar View'!$B$98</f>
        <v>Webinars</v>
      </c>
      <c r="E254" s="20" t="str">
        <f>VLOOKUP(D254,'1 - Staff Calendar View'!$I$49:$J$51,2,FALSE())</f>
        <v>4:00PM-5:00PM</v>
      </c>
      <c r="F254" s="20" t="str">
        <f>'1 - Staff Calendar View'!D$98</f>
        <v/>
      </c>
      <c r="G254" s="20" t="str">
        <f>IF('1 - Staff Calendar View'!D$99="-","-",'1 - Staff Calendar View'!D$99)</f>
        <v/>
      </c>
      <c r="H254" s="20" t="str">
        <f t="shared" si="2"/>
        <v>#REF!</v>
      </c>
    </row>
    <row r="255" ht="15.75" customHeight="1">
      <c r="A255" s="20" t="str">
        <f>'1 - Staff Calendar View'!$A$94</f>
        <v>Wk 17</v>
      </c>
      <c r="B255" s="22">
        <f>'1 - Staff Calendar View'!D$93</f>
        <v>46252</v>
      </c>
      <c r="C255" s="20" t="str">
        <f t="shared" si="1"/>
        <v>Tue</v>
      </c>
      <c r="D255" s="20" t="str">
        <f>'1 - Staff Calendar View'!$B$98</f>
        <v>Webinars</v>
      </c>
      <c r="E255" s="20" t="str">
        <f>VLOOKUP(D255,'1 - Staff Calendar View'!$I$49:$J$51,2,FALSE())</f>
        <v>4:00PM-5:00PM</v>
      </c>
      <c r="F255" s="20" t="str">
        <f>'1 - Staff Calendar View'!D$99</f>
        <v/>
      </c>
      <c r="G255" s="20" t="str">
        <f>IF('1 - Staff Calendar View'!D$98="-","-",'1 - Staff Calendar View'!D$98)</f>
        <v/>
      </c>
      <c r="H255" s="20" t="str">
        <f t="shared" si="2"/>
        <v>#REF!</v>
      </c>
    </row>
    <row r="256" ht="15.75" customHeight="1">
      <c r="A256" s="20" t="str">
        <f>'1 - Staff Calendar View'!$A$94</f>
        <v>Wk 17</v>
      </c>
      <c r="B256" s="22">
        <f>'1 - Staff Calendar View'!D$93</f>
        <v>46252</v>
      </c>
      <c r="C256" s="20" t="str">
        <f t="shared" si="1"/>
        <v>Tue</v>
      </c>
      <c r="D256" s="20" t="str">
        <f>'1 - Staff Calendar View'!$B$100</f>
        <v>In Person Session</v>
      </c>
      <c r="E256" s="20" t="str">
        <f>VLOOKUP(D256,'1 - Staff Calendar View'!$I$49:$J$51,2,FALSE())</f>
        <v>#N/A</v>
      </c>
      <c r="F256" s="20" t="str">
        <f>'1 - Staff Calendar View'!D$100</f>
        <v/>
      </c>
      <c r="G256" s="20" t="str">
        <f>IF('1 - Staff Calendar View'!D$101="-","-",'1 - Staff Calendar View'!D$101)</f>
        <v/>
      </c>
      <c r="H256" s="20" t="str">
        <f t="shared" si="2"/>
        <v>#REF!</v>
      </c>
    </row>
    <row r="257" ht="15.75" customHeight="1">
      <c r="A257" s="20" t="str">
        <f>'1 - Staff Calendar View'!$A$94</f>
        <v>Wk 17</v>
      </c>
      <c r="B257" s="22">
        <f>'1 - Staff Calendar View'!D$93</f>
        <v>46252</v>
      </c>
      <c r="C257" s="20" t="str">
        <f t="shared" si="1"/>
        <v>Tue</v>
      </c>
      <c r="D257" s="20" t="str">
        <f>'1 - Staff Calendar View'!$B$100</f>
        <v>In Person Session</v>
      </c>
      <c r="E257" s="20" t="str">
        <f>VLOOKUP(D257,'1 - Staff Calendar View'!$I$49:$J$51,2,FALSE())</f>
        <v>#N/A</v>
      </c>
      <c r="F257" s="20" t="str">
        <f>'1 - Staff Calendar View'!D$101</f>
        <v/>
      </c>
      <c r="G257" s="20" t="str">
        <f>IF('1 - Staff Calendar View'!D$100="-","-",'1 - Staff Calendar View'!D$100)</f>
        <v/>
      </c>
      <c r="H257" s="20" t="str">
        <f t="shared" si="2"/>
        <v>#REF!</v>
      </c>
    </row>
    <row r="258" ht="15.75" customHeight="1">
      <c r="A258" s="20" t="str">
        <f>'1 - Staff Calendar View'!$A$94</f>
        <v>Wk 17</v>
      </c>
      <c r="B258" s="22">
        <f>'1 - Staff Calendar View'!E$93</f>
        <v>46253</v>
      </c>
      <c r="C258" s="20" t="str">
        <f t="shared" si="1"/>
        <v>Wed</v>
      </c>
      <c r="D258" s="20" t="str">
        <f>'1 - Staff Calendar View'!$B$94</f>
        <v>Clayton Drop-in</v>
      </c>
      <c r="E258" s="20" t="str">
        <f>VLOOKUP(D258,'1 - Staff Calendar View'!$I$49:$J$51,2,FALSE())</f>
        <v>#N/A</v>
      </c>
      <c r="F258" s="20" t="str">
        <f>'1 - Staff Calendar View'!E$94</f>
        <v/>
      </c>
      <c r="G258" s="20" t="str">
        <f>IF('1 - Staff Calendar View'!E$95="-","-",'1 - Staff Calendar View'!E$95)</f>
        <v/>
      </c>
      <c r="H258" s="20" t="str">
        <f t="shared" si="2"/>
        <v>#REF!</v>
      </c>
    </row>
    <row r="259" ht="15.75" customHeight="1">
      <c r="A259" s="20" t="str">
        <f>'1 - Staff Calendar View'!$A$94</f>
        <v>Wk 17</v>
      </c>
      <c r="B259" s="22">
        <f>'1 - Staff Calendar View'!E$93</f>
        <v>46253</v>
      </c>
      <c r="C259" s="20" t="str">
        <f t="shared" si="1"/>
        <v>Wed</v>
      </c>
      <c r="D259" s="20" t="str">
        <f>'1 - Staff Calendar View'!$B$94</f>
        <v>Clayton Drop-in</v>
      </c>
      <c r="E259" s="20" t="str">
        <f>VLOOKUP(D259,'1 - Staff Calendar View'!$I$49:$J$51,2,FALSE())</f>
        <v>#N/A</v>
      </c>
      <c r="F259" s="20" t="str">
        <f>'1 - Staff Calendar View'!E$95</f>
        <v/>
      </c>
      <c r="G259" s="20" t="str">
        <f>IF('1 - Staff Calendar View'!E$94="-","-",'1 - Staff Calendar View'!E$94)</f>
        <v/>
      </c>
      <c r="H259" s="20" t="str">
        <f t="shared" si="2"/>
        <v>#REF!</v>
      </c>
    </row>
    <row r="260" ht="15.75" customHeight="1">
      <c r="A260" s="20" t="str">
        <f>'1 - Staff Calendar View'!$A$94</f>
        <v>Wk 17</v>
      </c>
      <c r="B260" s="22">
        <f>'1 - Staff Calendar View'!E$93</f>
        <v>46253</v>
      </c>
      <c r="C260" s="20" t="str">
        <f t="shared" si="1"/>
        <v>Wed</v>
      </c>
      <c r="D260" s="20" t="str">
        <f>'1 - Staff Calendar View'!$B$96</f>
        <v>Caulfield Drop-in</v>
      </c>
      <c r="E260" s="20" t="str">
        <f>VLOOKUP(D260,'1 - Staff Calendar View'!$I$49:$J$51,2,FALSE())</f>
        <v>10:40AM-2:20PM</v>
      </c>
      <c r="F260" s="20" t="str">
        <f>'1 - Staff Calendar View'!E$96</f>
        <v/>
      </c>
      <c r="G260" s="20" t="str">
        <f>IF('1 - Staff Calendar View'!E$97="-","-",'1 - Staff Calendar View'!E$97)</f>
        <v/>
      </c>
      <c r="H260" s="20" t="str">
        <f t="shared" si="2"/>
        <v>#REF!</v>
      </c>
    </row>
    <row r="261" ht="15.75" customHeight="1">
      <c r="A261" s="20" t="str">
        <f>'1 - Staff Calendar View'!$A$94</f>
        <v>Wk 17</v>
      </c>
      <c r="B261" s="22">
        <f>'1 - Staff Calendar View'!E$93</f>
        <v>46253</v>
      </c>
      <c r="C261" s="20" t="str">
        <f t="shared" si="1"/>
        <v>Wed</v>
      </c>
      <c r="D261" s="20" t="str">
        <f>'1 - Staff Calendar View'!$B$96</f>
        <v>Caulfield Drop-in</v>
      </c>
      <c r="E261" s="20" t="str">
        <f>VLOOKUP(D261,'1 - Staff Calendar View'!$I$49:$J$51,2,FALSE())</f>
        <v>10:40AM-2:20PM</v>
      </c>
      <c r="F261" s="20" t="str">
        <f>'1 - Staff Calendar View'!E$97</f>
        <v/>
      </c>
      <c r="G261" s="20" t="str">
        <f>IF('1 - Staff Calendar View'!E$96="-","-",'1 - Staff Calendar View'!E$96)</f>
        <v/>
      </c>
      <c r="H261" s="20" t="str">
        <f t="shared" si="2"/>
        <v>#REF!</v>
      </c>
    </row>
    <row r="262" ht="15.75" customHeight="1">
      <c r="A262" s="20" t="str">
        <f>'1 - Staff Calendar View'!$A$94</f>
        <v>Wk 17</v>
      </c>
      <c r="B262" s="22">
        <f>'1 - Staff Calendar View'!E$93</f>
        <v>46253</v>
      </c>
      <c r="C262" s="20" t="str">
        <f t="shared" si="1"/>
        <v>Wed</v>
      </c>
      <c r="D262" s="20" t="str">
        <f>'1 - Staff Calendar View'!$B$98</f>
        <v>Webinars</v>
      </c>
      <c r="E262" s="20" t="str">
        <f>VLOOKUP(D262,'1 - Staff Calendar View'!$I$49:$J$51,2,FALSE())</f>
        <v>4:00PM-5:00PM</v>
      </c>
      <c r="F262" s="20" t="str">
        <f>'1 - Staff Calendar View'!E$98</f>
        <v/>
      </c>
      <c r="G262" s="20" t="str">
        <f>IF('1 - Staff Calendar View'!E$99="-","-",'1 - Staff Calendar View'!E$99)</f>
        <v/>
      </c>
      <c r="H262" s="20" t="str">
        <f t="shared" si="2"/>
        <v>#REF!</v>
      </c>
    </row>
    <row r="263" ht="15.75" customHeight="1">
      <c r="A263" s="20" t="str">
        <f>'1 - Staff Calendar View'!$A$94</f>
        <v>Wk 17</v>
      </c>
      <c r="B263" s="22">
        <f>'1 - Staff Calendar View'!E$93</f>
        <v>46253</v>
      </c>
      <c r="C263" s="20" t="str">
        <f t="shared" si="1"/>
        <v>Wed</v>
      </c>
      <c r="D263" s="20" t="str">
        <f>'1 - Staff Calendar View'!$B$98</f>
        <v>Webinars</v>
      </c>
      <c r="E263" s="20" t="str">
        <f>VLOOKUP(D263,'1 - Staff Calendar View'!$I$49:$J$51,2,FALSE())</f>
        <v>4:00PM-5:00PM</v>
      </c>
      <c r="F263" s="20" t="str">
        <f>'1 - Staff Calendar View'!E$99</f>
        <v/>
      </c>
      <c r="G263" s="20" t="str">
        <f>IF('1 - Staff Calendar View'!E$98="-","-",'1 - Staff Calendar View'!E$98)</f>
        <v/>
      </c>
      <c r="H263" s="20" t="str">
        <f t="shared" si="2"/>
        <v>#REF!</v>
      </c>
    </row>
    <row r="264" ht="15.75" customHeight="1">
      <c r="A264" s="20" t="str">
        <f>'1 - Staff Calendar View'!$A$94</f>
        <v>Wk 17</v>
      </c>
      <c r="B264" s="22">
        <f>'1 - Staff Calendar View'!E$93</f>
        <v>46253</v>
      </c>
      <c r="C264" s="20" t="str">
        <f t="shared" si="1"/>
        <v>Wed</v>
      </c>
      <c r="D264" s="20" t="str">
        <f>'1 - Staff Calendar View'!$B$100</f>
        <v>In Person Session</v>
      </c>
      <c r="E264" s="20" t="str">
        <f>VLOOKUP(D264,'1 - Staff Calendar View'!$I$49:$J$51,2,FALSE())</f>
        <v>#N/A</v>
      </c>
      <c r="F264" s="20" t="str">
        <f>'1 - Staff Calendar View'!E$100</f>
        <v/>
      </c>
      <c r="G264" s="20" t="str">
        <f>IF('1 - Staff Calendar View'!E$101="-","-",'1 - Staff Calendar View'!E$101)</f>
        <v/>
      </c>
      <c r="H264" s="20" t="str">
        <f t="shared" si="2"/>
        <v>#REF!</v>
      </c>
    </row>
    <row r="265" ht="15.75" customHeight="1">
      <c r="A265" s="20" t="str">
        <f>'1 - Staff Calendar View'!$A$94</f>
        <v>Wk 17</v>
      </c>
      <c r="B265" s="22">
        <f>'1 - Staff Calendar View'!E$93</f>
        <v>46253</v>
      </c>
      <c r="C265" s="20" t="str">
        <f t="shared" si="1"/>
        <v>Wed</v>
      </c>
      <c r="D265" s="20" t="str">
        <f>'1 - Staff Calendar View'!$B$100</f>
        <v>In Person Session</v>
      </c>
      <c r="E265" s="20" t="str">
        <f>VLOOKUP(D265,'1 - Staff Calendar View'!$I$49:$J$51,2,FALSE())</f>
        <v>#N/A</v>
      </c>
      <c r="F265" s="20" t="str">
        <f>'1 - Staff Calendar View'!E$101</f>
        <v/>
      </c>
      <c r="G265" s="20" t="str">
        <f>IF('1 - Staff Calendar View'!E$100="-","-",'1 - Staff Calendar View'!E$100)</f>
        <v/>
      </c>
      <c r="H265" s="20" t="str">
        <f t="shared" si="2"/>
        <v>#REF!</v>
      </c>
    </row>
    <row r="266" ht="15.75" customHeight="1">
      <c r="A266" s="20" t="str">
        <f>'1 - Staff Calendar View'!$A$94</f>
        <v>Wk 17</v>
      </c>
      <c r="B266" s="22">
        <f>'1 - Staff Calendar View'!F$93</f>
        <v>46254</v>
      </c>
      <c r="C266" s="20" t="str">
        <f t="shared" si="1"/>
        <v>Thu</v>
      </c>
      <c r="D266" s="20" t="str">
        <f>'1 - Staff Calendar View'!$B$94</f>
        <v>Clayton Drop-in</v>
      </c>
      <c r="E266" s="20" t="str">
        <f>VLOOKUP(D266,'1 - Staff Calendar View'!$I$49:$J$51,2,FALSE())</f>
        <v>#N/A</v>
      </c>
      <c r="F266" s="20" t="str">
        <f>'1 - Staff Calendar View'!F$94</f>
        <v/>
      </c>
      <c r="G266" s="20" t="str">
        <f>IF('1 - Staff Calendar View'!F$95="-","-",'1 - Staff Calendar View'!F$95)</f>
        <v/>
      </c>
      <c r="H266" s="20" t="str">
        <f t="shared" si="2"/>
        <v>#REF!</v>
      </c>
    </row>
    <row r="267" ht="15.75" customHeight="1">
      <c r="A267" s="20" t="str">
        <f>'1 - Staff Calendar View'!$A$94</f>
        <v>Wk 17</v>
      </c>
      <c r="B267" s="22">
        <f>'1 - Staff Calendar View'!F$93</f>
        <v>46254</v>
      </c>
      <c r="C267" s="20" t="str">
        <f t="shared" si="1"/>
        <v>Thu</v>
      </c>
      <c r="D267" s="20" t="str">
        <f>'1 - Staff Calendar View'!$B$94</f>
        <v>Clayton Drop-in</v>
      </c>
      <c r="E267" s="20" t="str">
        <f>VLOOKUP(D267,'1 - Staff Calendar View'!$I$49:$J$51,2,FALSE())</f>
        <v>#N/A</v>
      </c>
      <c r="F267" s="20" t="str">
        <f>'1 - Staff Calendar View'!F$95</f>
        <v/>
      </c>
      <c r="G267" s="20" t="str">
        <f>IF('1 - Staff Calendar View'!F$94="-","-",'1 - Staff Calendar View'!F$94)</f>
        <v/>
      </c>
      <c r="H267" s="20" t="str">
        <f t="shared" si="2"/>
        <v>#REF!</v>
      </c>
    </row>
    <row r="268" ht="15.75" customHeight="1">
      <c r="A268" s="20" t="str">
        <f>'1 - Staff Calendar View'!$A$94</f>
        <v>Wk 17</v>
      </c>
      <c r="B268" s="22">
        <f>'1 - Staff Calendar View'!F$93</f>
        <v>46254</v>
      </c>
      <c r="C268" s="20" t="str">
        <f t="shared" si="1"/>
        <v>Thu</v>
      </c>
      <c r="D268" s="20" t="str">
        <f>'1 - Staff Calendar View'!$B$96</f>
        <v>Caulfield Drop-in</v>
      </c>
      <c r="E268" s="20" t="str">
        <f>VLOOKUP(D268,'1 - Staff Calendar View'!$I$49:$J$51,2,FALSE())</f>
        <v>10:40AM-2:20PM</v>
      </c>
      <c r="F268" s="20" t="str">
        <f>'1 - Staff Calendar View'!F$96</f>
        <v/>
      </c>
      <c r="G268" s="20" t="str">
        <f>IF('1 - Staff Calendar View'!F$97="-","-",'1 - Staff Calendar View'!F$97)</f>
        <v/>
      </c>
      <c r="H268" s="20" t="str">
        <f t="shared" si="2"/>
        <v>#REF!</v>
      </c>
    </row>
    <row r="269" ht="15.75" customHeight="1">
      <c r="A269" s="20" t="str">
        <f>'1 - Staff Calendar View'!$A$94</f>
        <v>Wk 17</v>
      </c>
      <c r="B269" s="22">
        <f>'1 - Staff Calendar View'!F$93</f>
        <v>46254</v>
      </c>
      <c r="C269" s="20" t="str">
        <f t="shared" si="1"/>
        <v>Thu</v>
      </c>
      <c r="D269" s="20" t="str">
        <f>'1 - Staff Calendar View'!$B$96</f>
        <v>Caulfield Drop-in</v>
      </c>
      <c r="E269" s="20" t="str">
        <f>VLOOKUP(D269,'1 - Staff Calendar View'!$I$49:$J$51,2,FALSE())</f>
        <v>10:40AM-2:20PM</v>
      </c>
      <c r="F269" s="20" t="str">
        <f>'1 - Staff Calendar View'!F$97</f>
        <v/>
      </c>
      <c r="G269" s="20" t="str">
        <f>IF('1 - Staff Calendar View'!F$96="-","-",'1 - Staff Calendar View'!F$96)</f>
        <v/>
      </c>
      <c r="H269" s="20" t="str">
        <f t="shared" si="2"/>
        <v>#REF!</v>
      </c>
    </row>
    <row r="270" ht="15.75" customHeight="1">
      <c r="A270" s="20" t="str">
        <f>'1 - Staff Calendar View'!$A$94</f>
        <v>Wk 17</v>
      </c>
      <c r="B270" s="22">
        <f>'1 - Staff Calendar View'!F$93</f>
        <v>46254</v>
      </c>
      <c r="C270" s="20" t="str">
        <f t="shared" si="1"/>
        <v>Thu</v>
      </c>
      <c r="D270" s="20" t="str">
        <f>'1 - Staff Calendar View'!$B$98</f>
        <v>Webinars</v>
      </c>
      <c r="E270" s="20" t="str">
        <f>VLOOKUP(D270,'1 - Staff Calendar View'!$I$49:$J$51,2,FALSE())</f>
        <v>4:00PM-5:00PM</v>
      </c>
      <c r="F270" s="20" t="str">
        <f>'1 - Staff Calendar View'!F$98</f>
        <v/>
      </c>
      <c r="G270" s="20" t="str">
        <f>IF('1 - Staff Calendar View'!F$99="-","-",'1 - Staff Calendar View'!F$99)</f>
        <v/>
      </c>
      <c r="H270" s="20" t="str">
        <f t="shared" si="2"/>
        <v>#REF!</v>
      </c>
    </row>
    <row r="271" ht="15.75" customHeight="1">
      <c r="A271" s="20" t="str">
        <f>'1 - Staff Calendar View'!$A$94</f>
        <v>Wk 17</v>
      </c>
      <c r="B271" s="22">
        <f>'1 - Staff Calendar View'!F$93</f>
        <v>46254</v>
      </c>
      <c r="C271" s="20" t="str">
        <f t="shared" si="1"/>
        <v>Thu</v>
      </c>
      <c r="D271" s="20" t="str">
        <f>'1 - Staff Calendar View'!$B$98</f>
        <v>Webinars</v>
      </c>
      <c r="E271" s="20" t="str">
        <f>VLOOKUP(D271,'1 - Staff Calendar View'!$I$49:$J$51,2,FALSE())</f>
        <v>4:00PM-5:00PM</v>
      </c>
      <c r="F271" s="20" t="str">
        <f>'1 - Staff Calendar View'!F$99</f>
        <v/>
      </c>
      <c r="G271" s="20" t="str">
        <f>IF('1 - Staff Calendar View'!F$98="-","-",'1 - Staff Calendar View'!F$98)</f>
        <v/>
      </c>
      <c r="H271" s="20" t="str">
        <f t="shared" si="2"/>
        <v>#REF!</v>
      </c>
    </row>
    <row r="272" ht="15.75" customHeight="1">
      <c r="A272" s="20" t="str">
        <f>'1 - Staff Calendar View'!$A$94</f>
        <v>Wk 17</v>
      </c>
      <c r="B272" s="22">
        <f>'1 - Staff Calendar View'!F$93</f>
        <v>46254</v>
      </c>
      <c r="C272" s="20" t="str">
        <f t="shared" si="1"/>
        <v>Thu</v>
      </c>
      <c r="D272" s="20" t="str">
        <f>'1 - Staff Calendar View'!$B$100</f>
        <v>In Person Session</v>
      </c>
      <c r="E272" s="20" t="str">
        <f>VLOOKUP(D272,'1 - Staff Calendar View'!$I$49:$J$51,2,FALSE())</f>
        <v>#N/A</v>
      </c>
      <c r="F272" s="20" t="str">
        <f>'1 - Staff Calendar View'!F$100</f>
        <v/>
      </c>
      <c r="G272" s="20" t="str">
        <f>IF('1 - Staff Calendar View'!F$101="-","-",'1 - Staff Calendar View'!F$101)</f>
        <v/>
      </c>
      <c r="H272" s="20" t="str">
        <f t="shared" si="2"/>
        <v>#REF!</v>
      </c>
    </row>
    <row r="273" ht="15.75" customHeight="1">
      <c r="A273" s="20" t="str">
        <f>'1 - Staff Calendar View'!$A$94</f>
        <v>Wk 17</v>
      </c>
      <c r="B273" s="22">
        <f>'1 - Staff Calendar View'!F$93</f>
        <v>46254</v>
      </c>
      <c r="C273" s="20" t="str">
        <f t="shared" si="1"/>
        <v>Thu</v>
      </c>
      <c r="D273" s="20" t="str">
        <f>'1 - Staff Calendar View'!$B$100</f>
        <v>In Person Session</v>
      </c>
      <c r="E273" s="20" t="str">
        <f>VLOOKUP(D273,'1 - Staff Calendar View'!$I$49:$J$51,2,FALSE())</f>
        <v>#N/A</v>
      </c>
      <c r="F273" s="20" t="str">
        <f>'1 - Staff Calendar View'!F$101</f>
        <v/>
      </c>
      <c r="G273" s="20" t="str">
        <f>IF('1 - Staff Calendar View'!F$100="-","-",'1 - Staff Calendar View'!F$100)</f>
        <v/>
      </c>
      <c r="H273" s="20" t="str">
        <f t="shared" si="2"/>
        <v>#REF!</v>
      </c>
    </row>
    <row r="274" ht="15.75" customHeight="1">
      <c r="A274" s="20" t="str">
        <f>'1 - Staff Calendar View'!$A$94</f>
        <v>Wk 17</v>
      </c>
      <c r="B274" s="22">
        <f>'1 - Staff Calendar View'!G$93</f>
        <v>46255</v>
      </c>
      <c r="C274" s="20" t="str">
        <f t="shared" si="1"/>
        <v>Fri</v>
      </c>
      <c r="D274" s="20" t="str">
        <f>'1 - Staff Calendar View'!$B$94</f>
        <v>Clayton Drop-in</v>
      </c>
      <c r="E274" s="20" t="str">
        <f>VLOOKUP(D274,'1 - Staff Calendar View'!$I$49:$J$51,2,FALSE())</f>
        <v>#N/A</v>
      </c>
      <c r="F274" s="20" t="str">
        <f>'1 - Staff Calendar View'!G$94</f>
        <v/>
      </c>
      <c r="G274" s="20" t="str">
        <f>IF('1 - Staff Calendar View'!G$95="-","-",'1 - Staff Calendar View'!G$95)</f>
        <v/>
      </c>
      <c r="H274" s="20" t="str">
        <f t="shared" si="2"/>
        <v>#REF!</v>
      </c>
    </row>
    <row r="275" ht="15.75" customHeight="1">
      <c r="A275" s="20" t="str">
        <f>'1 - Staff Calendar View'!$A$94</f>
        <v>Wk 17</v>
      </c>
      <c r="B275" s="22">
        <f>'1 - Staff Calendar View'!G$93</f>
        <v>46255</v>
      </c>
      <c r="C275" s="20" t="str">
        <f t="shared" si="1"/>
        <v>Fri</v>
      </c>
      <c r="D275" s="20" t="str">
        <f>'1 - Staff Calendar View'!$B$94</f>
        <v>Clayton Drop-in</v>
      </c>
      <c r="E275" s="20" t="str">
        <f>VLOOKUP(D275,'1 - Staff Calendar View'!$I$49:$J$51,2,FALSE())</f>
        <v>#N/A</v>
      </c>
      <c r="F275" s="20" t="str">
        <f>'1 - Staff Calendar View'!G$95</f>
        <v/>
      </c>
      <c r="G275" s="20" t="str">
        <f>IF('1 - Staff Calendar View'!G$94="-","-",'1 - Staff Calendar View'!G$94)</f>
        <v/>
      </c>
      <c r="H275" s="20" t="str">
        <f t="shared" si="2"/>
        <v>#REF!</v>
      </c>
    </row>
    <row r="276" ht="15.75" customHeight="1">
      <c r="A276" s="20" t="str">
        <f>'1 - Staff Calendar View'!$A$94</f>
        <v>Wk 17</v>
      </c>
      <c r="B276" s="22">
        <f>'1 - Staff Calendar View'!G$93</f>
        <v>46255</v>
      </c>
      <c r="C276" s="20" t="str">
        <f t="shared" si="1"/>
        <v>Fri</v>
      </c>
      <c r="D276" s="20" t="str">
        <f>'1 - Staff Calendar View'!$B$96</f>
        <v>Caulfield Drop-in</v>
      </c>
      <c r="E276" s="20" t="str">
        <f>VLOOKUP(D276,'1 - Staff Calendar View'!$I$49:$J$51,2,FALSE())</f>
        <v>10:40AM-2:20PM</v>
      </c>
      <c r="F276" s="20" t="str">
        <f>'1 - Staff Calendar View'!G$96</f>
        <v/>
      </c>
      <c r="G276" s="20" t="str">
        <f>IF('1 - Staff Calendar View'!G$97="-","-",'1 - Staff Calendar View'!G$97)</f>
        <v/>
      </c>
      <c r="H276" s="20" t="str">
        <f t="shared" si="2"/>
        <v>#REF!</v>
      </c>
    </row>
    <row r="277" ht="15.75" customHeight="1">
      <c r="A277" s="20" t="str">
        <f>'1 - Staff Calendar View'!$A$94</f>
        <v>Wk 17</v>
      </c>
      <c r="B277" s="22">
        <f>'1 - Staff Calendar View'!G$93</f>
        <v>46255</v>
      </c>
      <c r="C277" s="20" t="str">
        <f t="shared" si="1"/>
        <v>Fri</v>
      </c>
      <c r="D277" s="20" t="str">
        <f>'1 - Staff Calendar View'!$B$96</f>
        <v>Caulfield Drop-in</v>
      </c>
      <c r="E277" s="20" t="str">
        <f>VLOOKUP(D277,'1 - Staff Calendar View'!$I$49:$J$51,2,FALSE())</f>
        <v>10:40AM-2:20PM</v>
      </c>
      <c r="F277" s="20" t="str">
        <f>'1 - Staff Calendar View'!G$97</f>
        <v/>
      </c>
      <c r="G277" s="20" t="str">
        <f>IF('1 - Staff Calendar View'!G$96="-","-",'1 - Staff Calendar View'!G$96)</f>
        <v/>
      </c>
      <c r="H277" s="20" t="str">
        <f t="shared" si="2"/>
        <v>#REF!</v>
      </c>
    </row>
    <row r="278" ht="15.75" customHeight="1">
      <c r="A278" s="20" t="str">
        <f>'1 - Staff Calendar View'!$A$94</f>
        <v>Wk 17</v>
      </c>
      <c r="B278" s="22">
        <f>'1 - Staff Calendar View'!G$93</f>
        <v>46255</v>
      </c>
      <c r="C278" s="20" t="str">
        <f t="shared" si="1"/>
        <v>Fri</v>
      </c>
      <c r="D278" s="20" t="str">
        <f>'1 - Staff Calendar View'!$B$98</f>
        <v>Webinars</v>
      </c>
      <c r="E278" s="20" t="str">
        <f>VLOOKUP(D278,'1 - Staff Calendar View'!$I$49:$J$51,2,FALSE())</f>
        <v>4:00PM-5:00PM</v>
      </c>
      <c r="F278" s="20" t="str">
        <f>'1 - Staff Calendar View'!G$98</f>
        <v/>
      </c>
      <c r="G278" s="20" t="str">
        <f>IF('1 - Staff Calendar View'!G$99="-","-",'1 - Staff Calendar View'!G$99)</f>
        <v/>
      </c>
      <c r="H278" s="20" t="str">
        <f t="shared" si="2"/>
        <v>#REF!</v>
      </c>
    </row>
    <row r="279" ht="15.75" customHeight="1">
      <c r="A279" s="20" t="str">
        <f>'1 - Staff Calendar View'!$A$94</f>
        <v>Wk 17</v>
      </c>
      <c r="B279" s="22">
        <f>'1 - Staff Calendar View'!G$93</f>
        <v>46255</v>
      </c>
      <c r="C279" s="20" t="str">
        <f t="shared" si="1"/>
        <v>Fri</v>
      </c>
      <c r="D279" s="20" t="str">
        <f>'1 - Staff Calendar View'!$B$98</f>
        <v>Webinars</v>
      </c>
      <c r="E279" s="20" t="str">
        <f>VLOOKUP(D279,'1 - Staff Calendar View'!$I$49:$J$51,2,FALSE())</f>
        <v>4:00PM-5:00PM</v>
      </c>
      <c r="F279" s="20" t="str">
        <f>'1 - Staff Calendar View'!G$99</f>
        <v/>
      </c>
      <c r="G279" s="20" t="str">
        <f>IF('1 - Staff Calendar View'!G$98="-","-",'1 - Staff Calendar View'!G$98)</f>
        <v/>
      </c>
      <c r="H279" s="20" t="str">
        <f t="shared" si="2"/>
        <v>#REF!</v>
      </c>
    </row>
    <row r="280" ht="15.75" customHeight="1">
      <c r="A280" s="20" t="str">
        <f>'1 - Staff Calendar View'!$A$94</f>
        <v>Wk 17</v>
      </c>
      <c r="B280" s="22">
        <f>'1 - Staff Calendar View'!G$93</f>
        <v>46255</v>
      </c>
      <c r="C280" s="20" t="str">
        <f t="shared" si="1"/>
        <v>Fri</v>
      </c>
      <c r="D280" s="20" t="str">
        <f>'1 - Staff Calendar View'!$B$100</f>
        <v>In Person Session</v>
      </c>
      <c r="E280" s="20" t="str">
        <f>VLOOKUP(D280,'1 - Staff Calendar View'!$I$49:$J$51,2,FALSE())</f>
        <v>#N/A</v>
      </c>
      <c r="F280" s="20" t="str">
        <f>'1 - Staff Calendar View'!G$100</f>
        <v/>
      </c>
      <c r="G280" s="20" t="str">
        <f>IF('1 - Staff Calendar View'!G$101="-","-",'1 - Staff Calendar View'!G$101)</f>
        <v/>
      </c>
      <c r="H280" s="20" t="str">
        <f t="shared" si="2"/>
        <v>#REF!</v>
      </c>
    </row>
    <row r="281" ht="15.75" customHeight="1">
      <c r="A281" s="20" t="str">
        <f>'1 - Staff Calendar View'!$A$94</f>
        <v>Wk 17</v>
      </c>
      <c r="B281" s="22">
        <f>'1 - Staff Calendar View'!G$93</f>
        <v>46255</v>
      </c>
      <c r="C281" s="20" t="str">
        <f t="shared" si="1"/>
        <v>Fri</v>
      </c>
      <c r="D281" s="20" t="str">
        <f>'1 - Staff Calendar View'!$B$100</f>
        <v>In Person Session</v>
      </c>
      <c r="E281" s="20" t="str">
        <f>VLOOKUP(D281,'1 - Staff Calendar View'!$I$49:$J$51,2,FALSE())</f>
        <v>#N/A</v>
      </c>
      <c r="F281" s="20" t="str">
        <f>'1 - Staff Calendar View'!G$101</f>
        <v/>
      </c>
      <c r="G281" s="20" t="str">
        <f>IF('1 - Staff Calendar View'!G$100="-","-",'1 - Staff Calendar View'!G$100)</f>
        <v/>
      </c>
      <c r="H281" s="20" t="str">
        <f t="shared" si="2"/>
        <v>#REF!</v>
      </c>
    </row>
    <row r="282" ht="15.75" customHeight="1">
      <c r="A282" s="20" t="str">
        <f>'1 - Staff Calendar View'!$A$105</f>
        <v>Wk 18</v>
      </c>
      <c r="B282" s="22">
        <f>'1 - Staff Calendar View'!C$104</f>
        <v>46258</v>
      </c>
      <c r="C282" s="20" t="str">
        <f t="shared" si="1"/>
        <v>Mon</v>
      </c>
      <c r="D282" s="20" t="str">
        <f>'1 - Staff Calendar View'!$B$105</f>
        <v>Clayton Drop-in</v>
      </c>
      <c r="E282" s="20" t="str">
        <f>VLOOKUP(D282,'1 - Staff Calendar View'!$I$49:$J$51,2,FALSE())</f>
        <v>#N/A</v>
      </c>
      <c r="F282" s="20" t="str">
        <f>'1 - Staff Calendar View'!C$105</f>
        <v/>
      </c>
      <c r="G282" s="20" t="str">
        <f>IF('1 - Staff Calendar View'!C$106="-","-",'1 - Staff Calendar View'!C$106)</f>
        <v/>
      </c>
      <c r="H282" s="20" t="str">
        <f t="shared" si="2"/>
        <v>#REF!</v>
      </c>
    </row>
    <row r="283" ht="15.75" customHeight="1">
      <c r="A283" s="20" t="str">
        <f>'1 - Staff Calendar View'!$A$105</f>
        <v>Wk 18</v>
      </c>
      <c r="B283" s="22">
        <f>'1 - Staff Calendar View'!C$104</f>
        <v>46258</v>
      </c>
      <c r="C283" s="20" t="str">
        <f t="shared" si="1"/>
        <v>Mon</v>
      </c>
      <c r="D283" s="20" t="str">
        <f>'1 - Staff Calendar View'!$B$105</f>
        <v>Clayton Drop-in</v>
      </c>
      <c r="E283" s="20" t="str">
        <f>VLOOKUP(D283,'1 - Staff Calendar View'!$I$49:$J$51,2,FALSE())</f>
        <v>#N/A</v>
      </c>
      <c r="F283" s="20" t="str">
        <f>'1 - Staff Calendar View'!C$106</f>
        <v/>
      </c>
      <c r="G283" s="20" t="str">
        <f>IF('1 - Staff Calendar View'!C$105="-","-",'1 - Staff Calendar View'!C$105)</f>
        <v/>
      </c>
      <c r="H283" s="20" t="str">
        <f t="shared" si="2"/>
        <v>#REF!</v>
      </c>
    </row>
    <row r="284" ht="15.75" customHeight="1">
      <c r="A284" s="20" t="str">
        <f>'1 - Staff Calendar View'!$A$105</f>
        <v>Wk 18</v>
      </c>
      <c r="B284" s="22">
        <f>'1 - Staff Calendar View'!C$104</f>
        <v>46258</v>
      </c>
      <c r="C284" s="20" t="str">
        <f t="shared" si="1"/>
        <v>Mon</v>
      </c>
      <c r="D284" s="20" t="str">
        <f>'1 - Staff Calendar View'!$B$107</f>
        <v>Caulfield Drop-in</v>
      </c>
      <c r="E284" s="20" t="str">
        <f>VLOOKUP(D284,'1 - Staff Calendar View'!$I$49:$J$51,2,FALSE())</f>
        <v>10:40AM-2:20PM</v>
      </c>
      <c r="F284" s="20" t="str">
        <f>'1 - Staff Calendar View'!C$107</f>
        <v/>
      </c>
      <c r="G284" s="20" t="str">
        <f>IF('1 - Staff Calendar View'!C$108="-","-",'1 - Staff Calendar View'!C$108)</f>
        <v/>
      </c>
      <c r="H284" s="20" t="str">
        <f t="shared" si="2"/>
        <v>#REF!</v>
      </c>
    </row>
    <row r="285" ht="15.75" customHeight="1">
      <c r="A285" s="20" t="str">
        <f>'1 - Staff Calendar View'!$A$105</f>
        <v>Wk 18</v>
      </c>
      <c r="B285" s="22">
        <f>'1 - Staff Calendar View'!C$104</f>
        <v>46258</v>
      </c>
      <c r="C285" s="20" t="str">
        <f t="shared" si="1"/>
        <v>Mon</v>
      </c>
      <c r="D285" s="20" t="str">
        <f>'1 - Staff Calendar View'!$B$107</f>
        <v>Caulfield Drop-in</v>
      </c>
      <c r="E285" s="20" t="str">
        <f>VLOOKUP(D285,'1 - Staff Calendar View'!$I$49:$J$51,2,FALSE())</f>
        <v>10:40AM-2:20PM</v>
      </c>
      <c r="F285" s="20" t="str">
        <f>'1 - Staff Calendar View'!C$108</f>
        <v/>
      </c>
      <c r="G285" s="20" t="str">
        <f>IF('1 - Staff Calendar View'!C$107="-","-",'1 - Staff Calendar View'!C$107)</f>
        <v/>
      </c>
      <c r="H285" s="20" t="str">
        <f t="shared" si="2"/>
        <v>#REF!</v>
      </c>
    </row>
    <row r="286" ht="15.75" customHeight="1">
      <c r="A286" s="20" t="str">
        <f>'1 - Staff Calendar View'!$A$105</f>
        <v>Wk 18</v>
      </c>
      <c r="B286" s="22">
        <f>'1 - Staff Calendar View'!C$104</f>
        <v>46258</v>
      </c>
      <c r="C286" s="20" t="str">
        <f t="shared" si="1"/>
        <v>Mon</v>
      </c>
      <c r="D286" s="20" t="str">
        <f>'1 - Staff Calendar View'!$B$109</f>
        <v>Webinars</v>
      </c>
      <c r="E286" s="20" t="str">
        <f>VLOOKUP(D286,'1 - Staff Calendar View'!$I$49:$J$51,2,FALSE())</f>
        <v>4:00PM-5:00PM</v>
      </c>
      <c r="F286" s="20" t="str">
        <f>'1 - Staff Calendar View'!C$109</f>
        <v/>
      </c>
      <c r="G286" s="20" t="str">
        <f>IF('1 - Staff Calendar View'!C$110="-","-",'1 - Staff Calendar View'!C$110)</f>
        <v/>
      </c>
      <c r="H286" s="20" t="str">
        <f t="shared" si="2"/>
        <v>#REF!</v>
      </c>
    </row>
    <row r="287" ht="15.75" customHeight="1">
      <c r="A287" s="20" t="str">
        <f>'1 - Staff Calendar View'!$A$105</f>
        <v>Wk 18</v>
      </c>
      <c r="B287" s="22">
        <f>'1 - Staff Calendar View'!C$104</f>
        <v>46258</v>
      </c>
      <c r="C287" s="20" t="str">
        <f t="shared" si="1"/>
        <v>Mon</v>
      </c>
      <c r="D287" s="20" t="str">
        <f>'1 - Staff Calendar View'!$B$109</f>
        <v>Webinars</v>
      </c>
      <c r="E287" s="20" t="str">
        <f>VLOOKUP(D287,'1 - Staff Calendar View'!$I$49:$J$51,2,FALSE())</f>
        <v>4:00PM-5:00PM</v>
      </c>
      <c r="F287" s="20" t="str">
        <f>'1 - Staff Calendar View'!C$110</f>
        <v/>
      </c>
      <c r="G287" s="20" t="str">
        <f>IF('1 - Staff Calendar View'!C$109="-","-",'1 - Staff Calendar View'!C$109)</f>
        <v/>
      </c>
      <c r="H287" s="20" t="str">
        <f t="shared" si="2"/>
        <v>#REF!</v>
      </c>
    </row>
    <row r="288" ht="15.75" customHeight="1">
      <c r="A288" s="20" t="str">
        <f>'1 - Staff Calendar View'!$A$105</f>
        <v>Wk 18</v>
      </c>
      <c r="B288" s="22">
        <f>'1 - Staff Calendar View'!C$104</f>
        <v>46258</v>
      </c>
      <c r="C288" s="20" t="str">
        <f t="shared" si="1"/>
        <v>Mon</v>
      </c>
      <c r="D288" s="20" t="str">
        <f>'1 - Staff Calendar View'!$B$111</f>
        <v>In Person Session</v>
      </c>
      <c r="E288" s="20" t="str">
        <f>VLOOKUP(D288,'1 - Staff Calendar View'!$I$49:$J$51,2,FALSE())</f>
        <v>#N/A</v>
      </c>
      <c r="F288" s="20" t="str">
        <f>'1 - Staff Calendar View'!C$111</f>
        <v/>
      </c>
      <c r="G288" s="20" t="str">
        <f>IF('1 - Staff Calendar View'!C$112="-","-",'1 - Staff Calendar View'!C$112)</f>
        <v/>
      </c>
      <c r="H288" s="20" t="str">
        <f t="shared" si="2"/>
        <v>#REF!</v>
      </c>
    </row>
    <row r="289" ht="15.75" customHeight="1">
      <c r="A289" s="20" t="str">
        <f>'1 - Staff Calendar View'!$A$105</f>
        <v>Wk 18</v>
      </c>
      <c r="B289" s="22">
        <f>'1 - Staff Calendar View'!C$104</f>
        <v>46258</v>
      </c>
      <c r="C289" s="20" t="str">
        <f t="shared" si="1"/>
        <v>Mon</v>
      </c>
      <c r="D289" s="20" t="str">
        <f>'1 - Staff Calendar View'!$B$111</f>
        <v>In Person Session</v>
      </c>
      <c r="E289" s="20" t="str">
        <f>VLOOKUP(D289,'1 - Staff Calendar View'!$I$49:$J$51,2,FALSE())</f>
        <v>#N/A</v>
      </c>
      <c r="F289" s="20" t="str">
        <f>'1 - Staff Calendar View'!C$112</f>
        <v/>
      </c>
      <c r="G289" s="20" t="str">
        <f>IF('1 - Staff Calendar View'!C$111="-","-",'1 - Staff Calendar View'!C$111)</f>
        <v/>
      </c>
      <c r="H289" s="20" t="str">
        <f t="shared" si="2"/>
        <v>#REF!</v>
      </c>
    </row>
    <row r="290" ht="15.75" customHeight="1">
      <c r="A290" s="20" t="str">
        <f>'1 - Staff Calendar View'!$A$105</f>
        <v>Wk 18</v>
      </c>
      <c r="B290" s="22">
        <f>'1 - Staff Calendar View'!D$104</f>
        <v>46259</v>
      </c>
      <c r="C290" s="20" t="str">
        <f t="shared" si="1"/>
        <v>Tue</v>
      </c>
      <c r="D290" s="20" t="str">
        <f>'1 - Staff Calendar View'!$B$105</f>
        <v>Clayton Drop-in</v>
      </c>
      <c r="E290" s="20" t="str">
        <f>VLOOKUP(D290,'1 - Staff Calendar View'!$I$49:$J$51,2,FALSE())</f>
        <v>#N/A</v>
      </c>
      <c r="F290" s="20" t="str">
        <f>'1 - Staff Calendar View'!D$105</f>
        <v/>
      </c>
      <c r="G290" s="20" t="str">
        <f>IF('1 - Staff Calendar View'!D$106="-","-",'1 - Staff Calendar View'!D$106)</f>
        <v/>
      </c>
      <c r="H290" s="20" t="str">
        <f t="shared" si="2"/>
        <v>#REF!</v>
      </c>
    </row>
    <row r="291" ht="15.75" customHeight="1">
      <c r="A291" s="20" t="str">
        <f>'1 - Staff Calendar View'!$A$105</f>
        <v>Wk 18</v>
      </c>
      <c r="B291" s="22">
        <f>'1 - Staff Calendar View'!D$104</f>
        <v>46259</v>
      </c>
      <c r="C291" s="20" t="str">
        <f t="shared" si="1"/>
        <v>Tue</v>
      </c>
      <c r="D291" s="20" t="str">
        <f>'1 - Staff Calendar View'!$B$105</f>
        <v>Clayton Drop-in</v>
      </c>
      <c r="E291" s="20" t="str">
        <f>VLOOKUP(D291,'1 - Staff Calendar View'!$I$49:$J$51,2,FALSE())</f>
        <v>#N/A</v>
      </c>
      <c r="F291" s="20" t="str">
        <f>'1 - Staff Calendar View'!D$106</f>
        <v/>
      </c>
      <c r="G291" s="20" t="str">
        <f>IF('1 - Staff Calendar View'!D$105="-","-",'1 - Staff Calendar View'!D$105)</f>
        <v/>
      </c>
      <c r="H291" s="20" t="str">
        <f t="shared" si="2"/>
        <v>#REF!</v>
      </c>
    </row>
    <row r="292" ht="15.75" customHeight="1">
      <c r="A292" s="20" t="str">
        <f>'1 - Staff Calendar View'!$A$105</f>
        <v>Wk 18</v>
      </c>
      <c r="B292" s="22">
        <f>'1 - Staff Calendar View'!D$104</f>
        <v>46259</v>
      </c>
      <c r="C292" s="20" t="str">
        <f t="shared" si="1"/>
        <v>Tue</v>
      </c>
      <c r="D292" s="20" t="str">
        <f>'1 - Staff Calendar View'!$B$107</f>
        <v>Caulfield Drop-in</v>
      </c>
      <c r="E292" s="20" t="str">
        <f>VLOOKUP(D292,'1 - Staff Calendar View'!$I$49:$J$51,2,FALSE())</f>
        <v>10:40AM-2:20PM</v>
      </c>
      <c r="F292" s="20" t="str">
        <f>'1 - Staff Calendar View'!D$107</f>
        <v/>
      </c>
      <c r="G292" s="20" t="str">
        <f>IF('1 - Staff Calendar View'!D$108="-","-",'1 - Staff Calendar View'!D$108)</f>
        <v/>
      </c>
      <c r="H292" s="20" t="str">
        <f t="shared" si="2"/>
        <v>#REF!</v>
      </c>
    </row>
    <row r="293" ht="15.75" customHeight="1">
      <c r="A293" s="20" t="str">
        <f>'1 - Staff Calendar View'!$A$105</f>
        <v>Wk 18</v>
      </c>
      <c r="B293" s="22">
        <f>'1 - Staff Calendar View'!D$104</f>
        <v>46259</v>
      </c>
      <c r="C293" s="20" t="str">
        <f t="shared" si="1"/>
        <v>Tue</v>
      </c>
      <c r="D293" s="20" t="str">
        <f>'1 - Staff Calendar View'!$B$107</f>
        <v>Caulfield Drop-in</v>
      </c>
      <c r="E293" s="20" t="str">
        <f>VLOOKUP(D293,'1 - Staff Calendar View'!$I$49:$J$51,2,FALSE())</f>
        <v>10:40AM-2:20PM</v>
      </c>
      <c r="F293" s="20" t="str">
        <f>'1 - Staff Calendar View'!D$108</f>
        <v/>
      </c>
      <c r="G293" s="20" t="str">
        <f>IF('1 - Staff Calendar View'!D$107="-","-",'1 - Staff Calendar View'!D$107)</f>
        <v/>
      </c>
      <c r="H293" s="20" t="str">
        <f t="shared" si="2"/>
        <v>#REF!</v>
      </c>
    </row>
    <row r="294" ht="15.75" customHeight="1">
      <c r="A294" s="20" t="str">
        <f>'1 - Staff Calendar View'!$A$105</f>
        <v>Wk 18</v>
      </c>
      <c r="B294" s="22">
        <f>'1 - Staff Calendar View'!D$104</f>
        <v>46259</v>
      </c>
      <c r="C294" s="20" t="str">
        <f t="shared" si="1"/>
        <v>Tue</v>
      </c>
      <c r="D294" s="20" t="str">
        <f>'1 - Staff Calendar View'!$B$109</f>
        <v>Webinars</v>
      </c>
      <c r="E294" s="20" t="str">
        <f>VLOOKUP(D294,'1 - Staff Calendar View'!$I$49:$J$51,2,FALSE())</f>
        <v>4:00PM-5:00PM</v>
      </c>
      <c r="F294" s="20" t="str">
        <f>'1 - Staff Calendar View'!D$109</f>
        <v/>
      </c>
      <c r="G294" s="20" t="str">
        <f>IF('1 - Staff Calendar View'!D$110="-","-",'1 - Staff Calendar View'!D$110)</f>
        <v/>
      </c>
      <c r="H294" s="20" t="str">
        <f t="shared" si="2"/>
        <v>#REF!</v>
      </c>
    </row>
    <row r="295" ht="15.75" customHeight="1">
      <c r="A295" s="20" t="str">
        <f>'1 - Staff Calendar View'!$A$105</f>
        <v>Wk 18</v>
      </c>
      <c r="B295" s="22">
        <f>'1 - Staff Calendar View'!D$104</f>
        <v>46259</v>
      </c>
      <c r="C295" s="20" t="str">
        <f t="shared" si="1"/>
        <v>Tue</v>
      </c>
      <c r="D295" s="20" t="str">
        <f>'1 - Staff Calendar View'!$B$109</f>
        <v>Webinars</v>
      </c>
      <c r="E295" s="20" t="str">
        <f>VLOOKUP(D295,'1 - Staff Calendar View'!$I$49:$J$51,2,FALSE())</f>
        <v>4:00PM-5:00PM</v>
      </c>
      <c r="F295" s="20" t="str">
        <f>'1 - Staff Calendar View'!D$110</f>
        <v/>
      </c>
      <c r="G295" s="20" t="str">
        <f>IF('1 - Staff Calendar View'!D$109="-","-",'1 - Staff Calendar View'!D$109)</f>
        <v/>
      </c>
      <c r="H295" s="20" t="str">
        <f t="shared" si="2"/>
        <v>#REF!</v>
      </c>
    </row>
    <row r="296" ht="15.75" customHeight="1">
      <c r="A296" s="20" t="str">
        <f>'1 - Staff Calendar View'!$A$105</f>
        <v>Wk 18</v>
      </c>
      <c r="B296" s="22">
        <f>'1 - Staff Calendar View'!D$104</f>
        <v>46259</v>
      </c>
      <c r="C296" s="20" t="str">
        <f t="shared" si="1"/>
        <v>Tue</v>
      </c>
      <c r="D296" s="20" t="str">
        <f>'1 - Staff Calendar View'!$B$111</f>
        <v>In Person Session</v>
      </c>
      <c r="E296" s="20" t="str">
        <f>VLOOKUP(D296,'1 - Staff Calendar View'!$I$49:$J$51,2,FALSE())</f>
        <v>#N/A</v>
      </c>
      <c r="F296" s="20" t="str">
        <f>'1 - Staff Calendar View'!D$111</f>
        <v/>
      </c>
      <c r="G296" s="20" t="str">
        <f>IF('1 - Staff Calendar View'!D$112="-","-",'1 - Staff Calendar View'!D$112)</f>
        <v/>
      </c>
      <c r="H296" s="20" t="str">
        <f t="shared" si="2"/>
        <v>#REF!</v>
      </c>
    </row>
    <row r="297" ht="15.75" customHeight="1">
      <c r="A297" s="20" t="str">
        <f>'1 - Staff Calendar View'!$A$105</f>
        <v>Wk 18</v>
      </c>
      <c r="B297" s="22">
        <f>'1 - Staff Calendar View'!D$104</f>
        <v>46259</v>
      </c>
      <c r="C297" s="20" t="str">
        <f t="shared" si="1"/>
        <v>Tue</v>
      </c>
      <c r="D297" s="20" t="str">
        <f>'1 - Staff Calendar View'!$B$111</f>
        <v>In Person Session</v>
      </c>
      <c r="E297" s="20" t="str">
        <f>VLOOKUP(D297,'1 - Staff Calendar View'!$I$49:$J$51,2,FALSE())</f>
        <v>#N/A</v>
      </c>
      <c r="F297" s="20" t="str">
        <f>'1 - Staff Calendar View'!D$112</f>
        <v/>
      </c>
      <c r="G297" s="20" t="str">
        <f>IF('1 - Staff Calendar View'!D$111="-","-",'1 - Staff Calendar View'!D$111)</f>
        <v/>
      </c>
      <c r="H297" s="20" t="str">
        <f t="shared" si="2"/>
        <v>#REF!</v>
      </c>
    </row>
    <row r="298" ht="15.75" customHeight="1">
      <c r="A298" s="20" t="str">
        <f>'1 - Staff Calendar View'!$A$105</f>
        <v>Wk 18</v>
      </c>
      <c r="B298" s="22">
        <f>'1 - Staff Calendar View'!E$104</f>
        <v>46260</v>
      </c>
      <c r="C298" s="20" t="str">
        <f t="shared" si="1"/>
        <v>Wed</v>
      </c>
      <c r="D298" s="20" t="str">
        <f>'1 - Staff Calendar View'!$B$105</f>
        <v>Clayton Drop-in</v>
      </c>
      <c r="E298" s="20" t="str">
        <f>VLOOKUP(D298,'1 - Staff Calendar View'!$I$49:$J$51,2,FALSE())</f>
        <v>#N/A</v>
      </c>
      <c r="F298" s="20" t="str">
        <f>'1 - Staff Calendar View'!E$105</f>
        <v/>
      </c>
      <c r="G298" s="20" t="str">
        <f>IF('1 - Staff Calendar View'!E$106="-","-",'1 - Staff Calendar View'!E$106)</f>
        <v/>
      </c>
      <c r="H298" s="20" t="str">
        <f t="shared" si="2"/>
        <v>#REF!</v>
      </c>
    </row>
    <row r="299" ht="15.75" customHeight="1">
      <c r="A299" s="20" t="str">
        <f>'1 - Staff Calendar View'!$A$105</f>
        <v>Wk 18</v>
      </c>
      <c r="B299" s="22">
        <f>'1 - Staff Calendar View'!E$104</f>
        <v>46260</v>
      </c>
      <c r="C299" s="20" t="str">
        <f t="shared" si="1"/>
        <v>Wed</v>
      </c>
      <c r="D299" s="20" t="str">
        <f>'1 - Staff Calendar View'!$B$105</f>
        <v>Clayton Drop-in</v>
      </c>
      <c r="E299" s="20" t="str">
        <f>VLOOKUP(D299,'1 - Staff Calendar View'!$I$49:$J$51,2,FALSE())</f>
        <v>#N/A</v>
      </c>
      <c r="F299" s="20" t="str">
        <f>'1 - Staff Calendar View'!E$106</f>
        <v/>
      </c>
      <c r="G299" s="20" t="str">
        <f>IF('1 - Staff Calendar View'!E$105="-","-",'1 - Staff Calendar View'!E$105)</f>
        <v/>
      </c>
      <c r="H299" s="20" t="str">
        <f t="shared" si="2"/>
        <v>#REF!</v>
      </c>
    </row>
    <row r="300" ht="15.75" customHeight="1">
      <c r="A300" s="20" t="str">
        <f>'1 - Staff Calendar View'!$A$105</f>
        <v>Wk 18</v>
      </c>
      <c r="B300" s="22">
        <f>'1 - Staff Calendar View'!E$104</f>
        <v>46260</v>
      </c>
      <c r="C300" s="20" t="str">
        <f t="shared" si="1"/>
        <v>Wed</v>
      </c>
      <c r="D300" s="20" t="str">
        <f>'1 - Staff Calendar View'!$B$107</f>
        <v>Caulfield Drop-in</v>
      </c>
      <c r="E300" s="20" t="str">
        <f>VLOOKUP(D300,'1 - Staff Calendar View'!$I$49:$J$51,2,FALSE())</f>
        <v>10:40AM-2:20PM</v>
      </c>
      <c r="F300" s="20" t="str">
        <f>'1 - Staff Calendar View'!E$107</f>
        <v/>
      </c>
      <c r="G300" s="20" t="str">
        <f>IF('1 - Staff Calendar View'!E$108="-","-",'1 - Staff Calendar View'!E$108)</f>
        <v/>
      </c>
      <c r="H300" s="20" t="str">
        <f t="shared" si="2"/>
        <v>#REF!</v>
      </c>
    </row>
    <row r="301" ht="15.75" customHeight="1">
      <c r="A301" s="20" t="str">
        <f>'1 - Staff Calendar View'!$A$105</f>
        <v>Wk 18</v>
      </c>
      <c r="B301" s="22">
        <f>'1 - Staff Calendar View'!E$104</f>
        <v>46260</v>
      </c>
      <c r="C301" s="20" t="str">
        <f t="shared" si="1"/>
        <v>Wed</v>
      </c>
      <c r="D301" s="20" t="str">
        <f>'1 - Staff Calendar View'!$B$107</f>
        <v>Caulfield Drop-in</v>
      </c>
      <c r="E301" s="20" t="str">
        <f>VLOOKUP(D301,'1 - Staff Calendar View'!$I$49:$J$51,2,FALSE())</f>
        <v>10:40AM-2:20PM</v>
      </c>
      <c r="F301" s="20" t="str">
        <f>'1 - Staff Calendar View'!E$108</f>
        <v/>
      </c>
      <c r="G301" s="20" t="str">
        <f>IF('1 - Staff Calendar View'!E$107="-","-",'1 - Staff Calendar View'!E$107)</f>
        <v/>
      </c>
      <c r="H301" s="20" t="str">
        <f t="shared" si="2"/>
        <v>#REF!</v>
      </c>
    </row>
    <row r="302" ht="15.75" customHeight="1">
      <c r="A302" s="20" t="str">
        <f>'1 - Staff Calendar View'!$A$105</f>
        <v>Wk 18</v>
      </c>
      <c r="B302" s="22">
        <f>'1 - Staff Calendar View'!E$104</f>
        <v>46260</v>
      </c>
      <c r="C302" s="20" t="str">
        <f t="shared" si="1"/>
        <v>Wed</v>
      </c>
      <c r="D302" s="20" t="str">
        <f>'1 - Staff Calendar View'!$B$109</f>
        <v>Webinars</v>
      </c>
      <c r="E302" s="20" t="str">
        <f>VLOOKUP(D302,'1 - Staff Calendar View'!$I$49:$J$51,2,FALSE())</f>
        <v>4:00PM-5:00PM</v>
      </c>
      <c r="F302" s="20" t="str">
        <f>'1 - Staff Calendar View'!E$109</f>
        <v/>
      </c>
      <c r="G302" s="20" t="str">
        <f>IF('1 - Staff Calendar View'!E$110="-","-",'1 - Staff Calendar View'!E$110)</f>
        <v/>
      </c>
      <c r="H302" s="20" t="str">
        <f t="shared" si="2"/>
        <v>#REF!</v>
      </c>
    </row>
    <row r="303" ht="15.75" customHeight="1">
      <c r="A303" s="20" t="str">
        <f>'1 - Staff Calendar View'!$A$105</f>
        <v>Wk 18</v>
      </c>
      <c r="B303" s="22">
        <f>'1 - Staff Calendar View'!E$104</f>
        <v>46260</v>
      </c>
      <c r="C303" s="20" t="str">
        <f t="shared" si="1"/>
        <v>Wed</v>
      </c>
      <c r="D303" s="20" t="str">
        <f>'1 - Staff Calendar View'!$B$109</f>
        <v>Webinars</v>
      </c>
      <c r="E303" s="20" t="str">
        <f>VLOOKUP(D303,'1 - Staff Calendar View'!$I$49:$J$51,2,FALSE())</f>
        <v>4:00PM-5:00PM</v>
      </c>
      <c r="F303" s="20" t="str">
        <f>'1 - Staff Calendar View'!E$110</f>
        <v/>
      </c>
      <c r="G303" s="20" t="str">
        <f>IF('1 - Staff Calendar View'!E$109="-","-",'1 - Staff Calendar View'!E$109)</f>
        <v/>
      </c>
      <c r="H303" s="20" t="str">
        <f t="shared" si="2"/>
        <v>#REF!</v>
      </c>
    </row>
    <row r="304" ht="15.75" customHeight="1">
      <c r="A304" s="20" t="str">
        <f>'1 - Staff Calendar View'!$A$105</f>
        <v>Wk 18</v>
      </c>
      <c r="B304" s="22">
        <f>'1 - Staff Calendar View'!E$104</f>
        <v>46260</v>
      </c>
      <c r="C304" s="20" t="str">
        <f t="shared" si="1"/>
        <v>Wed</v>
      </c>
      <c r="D304" s="20" t="str">
        <f>'1 - Staff Calendar View'!$B$111</f>
        <v>In Person Session</v>
      </c>
      <c r="E304" s="20" t="str">
        <f>VLOOKUP(D304,'1 - Staff Calendar View'!$I$49:$J$51,2,FALSE())</f>
        <v>#N/A</v>
      </c>
      <c r="F304" s="20" t="str">
        <f>'1 - Staff Calendar View'!E$111</f>
        <v/>
      </c>
      <c r="G304" s="20" t="str">
        <f>IF('1 - Staff Calendar View'!E$112="-","-",'1 - Staff Calendar View'!E$112)</f>
        <v/>
      </c>
      <c r="H304" s="20" t="str">
        <f t="shared" si="2"/>
        <v>#REF!</v>
      </c>
    </row>
    <row r="305" ht="15.75" customHeight="1">
      <c r="A305" s="20" t="str">
        <f>'1 - Staff Calendar View'!$A$105</f>
        <v>Wk 18</v>
      </c>
      <c r="B305" s="22">
        <f>'1 - Staff Calendar View'!E$104</f>
        <v>46260</v>
      </c>
      <c r="C305" s="20" t="str">
        <f t="shared" si="1"/>
        <v>Wed</v>
      </c>
      <c r="D305" s="20" t="str">
        <f>'1 - Staff Calendar View'!$B$111</f>
        <v>In Person Session</v>
      </c>
      <c r="E305" s="20" t="str">
        <f>VLOOKUP(D305,'1 - Staff Calendar View'!$I$49:$J$51,2,FALSE())</f>
        <v>#N/A</v>
      </c>
      <c r="F305" s="20" t="str">
        <f>'1 - Staff Calendar View'!E$112</f>
        <v/>
      </c>
      <c r="G305" s="20" t="str">
        <f>IF('1 - Staff Calendar View'!E$111="-","-",'1 - Staff Calendar View'!E$111)</f>
        <v/>
      </c>
      <c r="H305" s="20" t="str">
        <f t="shared" si="2"/>
        <v>#REF!</v>
      </c>
    </row>
    <row r="306" ht="15.75" customHeight="1">
      <c r="A306" s="20" t="str">
        <f>'1 - Staff Calendar View'!$A$105</f>
        <v>Wk 18</v>
      </c>
      <c r="B306" s="22">
        <f>'1 - Staff Calendar View'!F$104</f>
        <v>46261</v>
      </c>
      <c r="C306" s="20" t="str">
        <f t="shared" si="1"/>
        <v>Thu</v>
      </c>
      <c r="D306" s="20" t="str">
        <f>'1 - Staff Calendar View'!$B$105</f>
        <v>Clayton Drop-in</v>
      </c>
      <c r="E306" s="20" t="str">
        <f>VLOOKUP(D306,'1 - Staff Calendar View'!$I$49:$J$51,2,FALSE())</f>
        <v>#N/A</v>
      </c>
      <c r="F306" s="20" t="str">
        <f>'1 - Staff Calendar View'!F$105</f>
        <v/>
      </c>
      <c r="G306" s="20" t="str">
        <f>IF('1 - Staff Calendar View'!F$106="-","-",'1 - Staff Calendar View'!F$106)</f>
        <v/>
      </c>
      <c r="H306" s="20" t="str">
        <f t="shared" si="2"/>
        <v>#REF!</v>
      </c>
    </row>
    <row r="307" ht="15.75" customHeight="1">
      <c r="A307" s="20" t="str">
        <f>'1 - Staff Calendar View'!$A$105</f>
        <v>Wk 18</v>
      </c>
      <c r="B307" s="22">
        <f>'1 - Staff Calendar View'!F$104</f>
        <v>46261</v>
      </c>
      <c r="C307" s="20" t="str">
        <f t="shared" si="1"/>
        <v>Thu</v>
      </c>
      <c r="D307" s="20" t="str">
        <f>'1 - Staff Calendar View'!$B$105</f>
        <v>Clayton Drop-in</v>
      </c>
      <c r="E307" s="20" t="str">
        <f>VLOOKUP(D307,'1 - Staff Calendar View'!$I$49:$J$51,2,FALSE())</f>
        <v>#N/A</v>
      </c>
      <c r="F307" s="20" t="str">
        <f>'1 - Staff Calendar View'!F$106</f>
        <v/>
      </c>
      <c r="G307" s="20" t="str">
        <f>IF('1 - Staff Calendar View'!F$105="-","-",'1 - Staff Calendar View'!F$105)</f>
        <v/>
      </c>
      <c r="H307" s="20" t="str">
        <f t="shared" si="2"/>
        <v>#REF!</v>
      </c>
    </row>
    <row r="308" ht="15.75" customHeight="1">
      <c r="A308" s="20" t="str">
        <f>'1 - Staff Calendar View'!$A$105</f>
        <v>Wk 18</v>
      </c>
      <c r="B308" s="22">
        <f>'1 - Staff Calendar View'!F$104</f>
        <v>46261</v>
      </c>
      <c r="C308" s="20" t="str">
        <f t="shared" si="1"/>
        <v>Thu</v>
      </c>
      <c r="D308" s="20" t="str">
        <f>'1 - Staff Calendar View'!$B$107</f>
        <v>Caulfield Drop-in</v>
      </c>
      <c r="E308" s="20" t="str">
        <f>VLOOKUP(D308,'1 - Staff Calendar View'!$I$49:$J$51,2,FALSE())</f>
        <v>10:40AM-2:20PM</v>
      </c>
      <c r="F308" s="20" t="str">
        <f>'1 - Staff Calendar View'!F$107</f>
        <v/>
      </c>
      <c r="G308" s="20" t="str">
        <f>IF('1 - Staff Calendar View'!F$108="-","-",'1 - Staff Calendar View'!F$108)</f>
        <v/>
      </c>
      <c r="H308" s="20" t="str">
        <f t="shared" si="2"/>
        <v>#REF!</v>
      </c>
    </row>
    <row r="309" ht="15.75" customHeight="1">
      <c r="A309" s="20" t="str">
        <f>'1 - Staff Calendar View'!$A$105</f>
        <v>Wk 18</v>
      </c>
      <c r="B309" s="22">
        <f>'1 - Staff Calendar View'!F$104</f>
        <v>46261</v>
      </c>
      <c r="C309" s="20" t="str">
        <f t="shared" si="1"/>
        <v>Thu</v>
      </c>
      <c r="D309" s="20" t="str">
        <f>'1 - Staff Calendar View'!$B$107</f>
        <v>Caulfield Drop-in</v>
      </c>
      <c r="E309" s="20" t="str">
        <f>VLOOKUP(D309,'1 - Staff Calendar View'!$I$49:$J$51,2,FALSE())</f>
        <v>10:40AM-2:20PM</v>
      </c>
      <c r="F309" s="20" t="str">
        <f>'1 - Staff Calendar View'!F$108</f>
        <v/>
      </c>
      <c r="G309" s="20" t="str">
        <f>IF('1 - Staff Calendar View'!F$107="-","-",'1 - Staff Calendar View'!F$107)</f>
        <v/>
      </c>
      <c r="H309" s="20" t="str">
        <f t="shared" si="2"/>
        <v>#REF!</v>
      </c>
    </row>
    <row r="310" ht="15.75" customHeight="1">
      <c r="A310" s="20" t="str">
        <f>'1 - Staff Calendar View'!$A$105</f>
        <v>Wk 18</v>
      </c>
      <c r="B310" s="22">
        <f>'1 - Staff Calendar View'!F$104</f>
        <v>46261</v>
      </c>
      <c r="C310" s="20" t="str">
        <f t="shared" si="1"/>
        <v>Thu</v>
      </c>
      <c r="D310" s="20" t="str">
        <f>'1 - Staff Calendar View'!$B$109</f>
        <v>Webinars</v>
      </c>
      <c r="E310" s="20" t="str">
        <f>VLOOKUP(D310,'1 - Staff Calendar View'!$I$49:$J$51,2,FALSE())</f>
        <v>4:00PM-5:00PM</v>
      </c>
      <c r="F310" s="20" t="str">
        <f>'1 - Staff Calendar View'!F$109</f>
        <v/>
      </c>
      <c r="G310" s="20" t="str">
        <f>IF('1 - Staff Calendar View'!F$110="-","-",'1 - Staff Calendar View'!F$110)</f>
        <v/>
      </c>
      <c r="H310" s="20" t="str">
        <f t="shared" si="2"/>
        <v>#REF!</v>
      </c>
    </row>
    <row r="311" ht="15.75" customHeight="1">
      <c r="A311" s="20" t="str">
        <f>'1 - Staff Calendar View'!$A$105</f>
        <v>Wk 18</v>
      </c>
      <c r="B311" s="22">
        <f>'1 - Staff Calendar View'!F$104</f>
        <v>46261</v>
      </c>
      <c r="C311" s="20" t="str">
        <f t="shared" si="1"/>
        <v>Thu</v>
      </c>
      <c r="D311" s="20" t="str">
        <f>'1 - Staff Calendar View'!$B$109</f>
        <v>Webinars</v>
      </c>
      <c r="E311" s="20" t="str">
        <f>VLOOKUP(D311,'1 - Staff Calendar View'!$I$49:$J$51,2,FALSE())</f>
        <v>4:00PM-5:00PM</v>
      </c>
      <c r="F311" s="20" t="str">
        <f>'1 - Staff Calendar View'!F$110</f>
        <v/>
      </c>
      <c r="G311" s="20" t="str">
        <f>IF('1 - Staff Calendar View'!F$109="-","-",'1 - Staff Calendar View'!F$109)</f>
        <v/>
      </c>
      <c r="H311" s="20" t="str">
        <f t="shared" si="2"/>
        <v>#REF!</v>
      </c>
    </row>
    <row r="312" ht="15.75" customHeight="1">
      <c r="A312" s="20" t="str">
        <f>'1 - Staff Calendar View'!$A$105</f>
        <v>Wk 18</v>
      </c>
      <c r="B312" s="22">
        <f>'1 - Staff Calendar View'!F$104</f>
        <v>46261</v>
      </c>
      <c r="C312" s="20" t="str">
        <f t="shared" si="1"/>
        <v>Thu</v>
      </c>
      <c r="D312" s="20" t="str">
        <f>'1 - Staff Calendar View'!$B$111</f>
        <v>In Person Session</v>
      </c>
      <c r="E312" s="20" t="str">
        <f>VLOOKUP(D312,'1 - Staff Calendar View'!$I$49:$J$51,2,FALSE())</f>
        <v>#N/A</v>
      </c>
      <c r="F312" s="20" t="str">
        <f>'1 - Staff Calendar View'!F$111</f>
        <v/>
      </c>
      <c r="G312" s="20" t="str">
        <f>IF('1 - Staff Calendar View'!F$112="-","-",'1 - Staff Calendar View'!F$112)</f>
        <v/>
      </c>
      <c r="H312" s="20" t="str">
        <f t="shared" si="2"/>
        <v>#REF!</v>
      </c>
    </row>
    <row r="313" ht="15.75" customHeight="1">
      <c r="A313" s="20" t="str">
        <f>'1 - Staff Calendar View'!$A$105</f>
        <v>Wk 18</v>
      </c>
      <c r="B313" s="22">
        <f>'1 - Staff Calendar View'!F$104</f>
        <v>46261</v>
      </c>
      <c r="C313" s="20" t="str">
        <f t="shared" si="1"/>
        <v>Thu</v>
      </c>
      <c r="D313" s="20" t="str">
        <f>'1 - Staff Calendar View'!$B$111</f>
        <v>In Person Session</v>
      </c>
      <c r="E313" s="20" t="str">
        <f>VLOOKUP(D313,'1 - Staff Calendar View'!$I$49:$J$51,2,FALSE())</f>
        <v>#N/A</v>
      </c>
      <c r="F313" s="20" t="str">
        <f>'1 - Staff Calendar View'!F$112</f>
        <v/>
      </c>
      <c r="G313" s="20" t="str">
        <f>IF('1 - Staff Calendar View'!F$111="-","-",'1 - Staff Calendar View'!F$111)</f>
        <v/>
      </c>
      <c r="H313" s="20" t="str">
        <f t="shared" si="2"/>
        <v>#REF!</v>
      </c>
    </row>
    <row r="314" ht="15.75" customHeight="1">
      <c r="A314" s="20" t="str">
        <f>'1 - Staff Calendar View'!$A$105</f>
        <v>Wk 18</v>
      </c>
      <c r="B314" s="22">
        <f>'1 - Staff Calendar View'!G$104</f>
        <v>46262</v>
      </c>
      <c r="C314" s="20" t="str">
        <f t="shared" si="1"/>
        <v>Fri</v>
      </c>
      <c r="D314" s="20" t="str">
        <f>'1 - Staff Calendar View'!$B$105</f>
        <v>Clayton Drop-in</v>
      </c>
      <c r="E314" s="20" t="str">
        <f>VLOOKUP(D314,'1 - Staff Calendar View'!$I$49:$J$51,2,FALSE())</f>
        <v>#N/A</v>
      </c>
      <c r="F314" s="20" t="str">
        <f>'1 - Staff Calendar View'!G$105</f>
        <v/>
      </c>
      <c r="G314" s="20" t="str">
        <f>IF('1 - Staff Calendar View'!G$106="-","-",'1 - Staff Calendar View'!G$106)</f>
        <v/>
      </c>
      <c r="H314" s="20" t="str">
        <f t="shared" si="2"/>
        <v>#REF!</v>
      </c>
    </row>
    <row r="315" ht="15.75" customHeight="1">
      <c r="A315" s="20" t="str">
        <f>'1 - Staff Calendar View'!$A$105</f>
        <v>Wk 18</v>
      </c>
      <c r="B315" s="22">
        <f>'1 - Staff Calendar View'!G$104</f>
        <v>46262</v>
      </c>
      <c r="C315" s="20" t="str">
        <f t="shared" si="1"/>
        <v>Fri</v>
      </c>
      <c r="D315" s="20" t="str">
        <f>'1 - Staff Calendar View'!$B$105</f>
        <v>Clayton Drop-in</v>
      </c>
      <c r="E315" s="20" t="str">
        <f>VLOOKUP(D315,'1 - Staff Calendar View'!$I$49:$J$51,2,FALSE())</f>
        <v>#N/A</v>
      </c>
      <c r="F315" s="20" t="str">
        <f>'1 - Staff Calendar View'!G$106</f>
        <v/>
      </c>
      <c r="G315" s="20" t="str">
        <f>IF('1 - Staff Calendar View'!G$105="-","-",'1 - Staff Calendar View'!G$105)</f>
        <v/>
      </c>
      <c r="H315" s="20" t="str">
        <f t="shared" si="2"/>
        <v>#REF!</v>
      </c>
    </row>
    <row r="316" ht="15.75" customHeight="1">
      <c r="A316" s="20" t="str">
        <f>'1 - Staff Calendar View'!$A$105</f>
        <v>Wk 18</v>
      </c>
      <c r="B316" s="22">
        <f>'1 - Staff Calendar View'!G$104</f>
        <v>46262</v>
      </c>
      <c r="C316" s="20" t="str">
        <f t="shared" si="1"/>
        <v>Fri</v>
      </c>
      <c r="D316" s="20" t="str">
        <f>'1 - Staff Calendar View'!$B$107</f>
        <v>Caulfield Drop-in</v>
      </c>
      <c r="E316" s="20" t="str">
        <f>VLOOKUP(D316,'1 - Staff Calendar View'!$I$49:$J$51,2,FALSE())</f>
        <v>10:40AM-2:20PM</v>
      </c>
      <c r="F316" s="20" t="str">
        <f>'1 - Staff Calendar View'!G$107</f>
        <v/>
      </c>
      <c r="G316" s="20" t="str">
        <f>IF('1 - Staff Calendar View'!G$108="-","-",'1 - Staff Calendar View'!G$108)</f>
        <v/>
      </c>
      <c r="H316" s="20" t="str">
        <f t="shared" si="2"/>
        <v>#REF!</v>
      </c>
    </row>
    <row r="317" ht="15.75" customHeight="1">
      <c r="A317" s="20" t="str">
        <f>'1 - Staff Calendar View'!$A$105</f>
        <v>Wk 18</v>
      </c>
      <c r="B317" s="22">
        <f>'1 - Staff Calendar View'!G$104</f>
        <v>46262</v>
      </c>
      <c r="C317" s="20" t="str">
        <f t="shared" si="1"/>
        <v>Fri</v>
      </c>
      <c r="D317" s="20" t="str">
        <f>'1 - Staff Calendar View'!$B$107</f>
        <v>Caulfield Drop-in</v>
      </c>
      <c r="E317" s="20" t="str">
        <f>VLOOKUP(D317,'1 - Staff Calendar View'!$I$49:$J$51,2,FALSE())</f>
        <v>10:40AM-2:20PM</v>
      </c>
      <c r="F317" s="20" t="str">
        <f>'1 - Staff Calendar View'!G$108</f>
        <v/>
      </c>
      <c r="G317" s="20" t="str">
        <f>IF('1 - Staff Calendar View'!G$107="-","-",'1 - Staff Calendar View'!G$107)</f>
        <v/>
      </c>
      <c r="H317" s="20" t="str">
        <f t="shared" si="2"/>
        <v>#REF!</v>
      </c>
    </row>
    <row r="318" ht="15.75" customHeight="1">
      <c r="A318" s="20" t="str">
        <f>'1 - Staff Calendar View'!$A$105</f>
        <v>Wk 18</v>
      </c>
      <c r="B318" s="22">
        <f>'1 - Staff Calendar View'!G$104</f>
        <v>46262</v>
      </c>
      <c r="C318" s="20" t="str">
        <f t="shared" si="1"/>
        <v>Fri</v>
      </c>
      <c r="D318" s="20" t="str">
        <f>'1 - Staff Calendar View'!$B$109</f>
        <v>Webinars</v>
      </c>
      <c r="E318" s="20" t="str">
        <f>VLOOKUP(D318,'1 - Staff Calendar View'!$I$49:$J$51,2,FALSE())</f>
        <v>4:00PM-5:00PM</v>
      </c>
      <c r="F318" s="20" t="str">
        <f>'1 - Staff Calendar View'!G$109</f>
        <v/>
      </c>
      <c r="G318" s="20" t="str">
        <f>IF('1 - Staff Calendar View'!G$110="-","-",'1 - Staff Calendar View'!G$110)</f>
        <v/>
      </c>
      <c r="H318" s="20" t="str">
        <f t="shared" si="2"/>
        <v>#REF!</v>
      </c>
    </row>
    <row r="319" ht="15.75" customHeight="1">
      <c r="A319" s="20" t="str">
        <f>'1 - Staff Calendar View'!$A$105</f>
        <v>Wk 18</v>
      </c>
      <c r="B319" s="22">
        <f>'1 - Staff Calendar View'!G$104</f>
        <v>46262</v>
      </c>
      <c r="C319" s="20" t="str">
        <f t="shared" si="1"/>
        <v>Fri</v>
      </c>
      <c r="D319" s="20" t="str">
        <f>'1 - Staff Calendar View'!$B$109</f>
        <v>Webinars</v>
      </c>
      <c r="E319" s="20" t="str">
        <f>VLOOKUP(D319,'1 - Staff Calendar View'!$I$49:$J$51,2,FALSE())</f>
        <v>4:00PM-5:00PM</v>
      </c>
      <c r="F319" s="20" t="str">
        <f>'1 - Staff Calendar View'!G$110</f>
        <v/>
      </c>
      <c r="G319" s="20" t="str">
        <f>IF('1 - Staff Calendar View'!G$109="-","-",'1 - Staff Calendar View'!G$109)</f>
        <v/>
      </c>
      <c r="H319" s="20" t="str">
        <f t="shared" si="2"/>
        <v>#REF!</v>
      </c>
    </row>
    <row r="320" ht="15.75" customHeight="1">
      <c r="A320" s="20" t="str">
        <f>'1 - Staff Calendar View'!$A$105</f>
        <v>Wk 18</v>
      </c>
      <c r="B320" s="22">
        <f>'1 - Staff Calendar View'!G$104</f>
        <v>46262</v>
      </c>
      <c r="C320" s="20" t="str">
        <f t="shared" si="1"/>
        <v>Fri</v>
      </c>
      <c r="D320" s="20" t="str">
        <f>'1 - Staff Calendar View'!$B$111</f>
        <v>In Person Session</v>
      </c>
      <c r="E320" s="20" t="str">
        <f>VLOOKUP(D320,'1 - Staff Calendar View'!$I$49:$J$51,2,FALSE())</f>
        <v>#N/A</v>
      </c>
      <c r="F320" s="20" t="str">
        <f>'1 - Staff Calendar View'!G$111</f>
        <v/>
      </c>
      <c r="G320" s="20" t="str">
        <f>IF('1 - Staff Calendar View'!G$112="-","-",'1 - Staff Calendar View'!G$112)</f>
        <v/>
      </c>
      <c r="H320" s="20" t="str">
        <f t="shared" si="2"/>
        <v>#REF!</v>
      </c>
    </row>
    <row r="321" ht="15.75" customHeight="1">
      <c r="A321" s="20" t="str">
        <f>'1 - Staff Calendar View'!$A$105</f>
        <v>Wk 18</v>
      </c>
      <c r="B321" s="22">
        <f>'1 - Staff Calendar View'!G$104</f>
        <v>46262</v>
      </c>
      <c r="C321" s="20" t="str">
        <f t="shared" si="1"/>
        <v>Fri</v>
      </c>
      <c r="D321" s="20" t="str">
        <f>'1 - Staff Calendar View'!$B$111</f>
        <v>In Person Session</v>
      </c>
      <c r="E321" s="20" t="str">
        <f>VLOOKUP(D321,'1 - Staff Calendar View'!$I$49:$J$51,2,FALSE())</f>
        <v>#N/A</v>
      </c>
      <c r="F321" s="20" t="str">
        <f>'1 - Staff Calendar View'!G$112</f>
        <v/>
      </c>
      <c r="G321" s="20" t="str">
        <f>IF('1 - Staff Calendar View'!G$111="-","-",'1 - Staff Calendar View'!G$111)</f>
        <v/>
      </c>
      <c r="H321" s="20" t="str">
        <f t="shared" si="2"/>
        <v>#REF!</v>
      </c>
    </row>
    <row r="322" ht="15.75" customHeight="1">
      <c r="A322" s="20" t="str">
        <f>'1 - Staff Calendar View'!$A$116</f>
        <v>Wk 19</v>
      </c>
      <c r="B322" s="22">
        <f>'1 - Staff Calendar View'!C$115</f>
        <v>46265</v>
      </c>
      <c r="C322" s="20" t="str">
        <f t="shared" si="1"/>
        <v>Mon</v>
      </c>
      <c r="D322" s="20" t="str">
        <f>'1 - Staff Calendar View'!$B$116</f>
        <v>Clayton Drop-in</v>
      </c>
      <c r="E322" s="20" t="str">
        <f>VLOOKUP(D322,'1 - Staff Calendar View'!$I$49:$J$51,2,FALSE())</f>
        <v>#N/A</v>
      </c>
      <c r="F322" s="20" t="str">
        <f>'1 - Staff Calendar View'!C$116</f>
        <v/>
      </c>
      <c r="G322" s="20" t="str">
        <f>IF('1 - Staff Calendar View'!C$117="-","-",'1 - Staff Calendar View'!C$117)</f>
        <v/>
      </c>
      <c r="H322" s="20" t="str">
        <f t="shared" si="2"/>
        <v>#REF!</v>
      </c>
    </row>
    <row r="323" ht="15.75" customHeight="1">
      <c r="A323" s="20" t="str">
        <f>'1 - Staff Calendar View'!$A$116</f>
        <v>Wk 19</v>
      </c>
      <c r="B323" s="22">
        <f>'1 - Staff Calendar View'!C$115</f>
        <v>46265</v>
      </c>
      <c r="C323" s="20" t="str">
        <f t="shared" si="1"/>
        <v>Mon</v>
      </c>
      <c r="D323" s="20" t="str">
        <f>'1 - Staff Calendar View'!$B$116</f>
        <v>Clayton Drop-in</v>
      </c>
      <c r="E323" s="20" t="str">
        <f>VLOOKUP(D323,'1 - Staff Calendar View'!$I$49:$J$51,2,FALSE())</f>
        <v>#N/A</v>
      </c>
      <c r="F323" s="20" t="str">
        <f>'1 - Staff Calendar View'!C$117</f>
        <v/>
      </c>
      <c r="G323" s="20" t="str">
        <f>IF('1 - Staff Calendar View'!C$116="-","-",'1 - Staff Calendar View'!C$116)</f>
        <v/>
      </c>
      <c r="H323" s="20" t="str">
        <f t="shared" si="2"/>
        <v>#REF!</v>
      </c>
    </row>
    <row r="324" ht="15.75" customHeight="1">
      <c r="A324" s="20" t="str">
        <f>'1 - Staff Calendar View'!$A$116</f>
        <v>Wk 19</v>
      </c>
      <c r="B324" s="22">
        <f>'1 - Staff Calendar View'!C$115</f>
        <v>46265</v>
      </c>
      <c r="C324" s="20" t="str">
        <f t="shared" si="1"/>
        <v>Mon</v>
      </c>
      <c r="D324" s="20" t="str">
        <f>'1 - Staff Calendar View'!$B$118</f>
        <v>Caulfield Drop-in</v>
      </c>
      <c r="E324" s="20" t="str">
        <f>VLOOKUP(D324,'1 - Staff Calendar View'!$I$49:$J$51,2,FALSE())</f>
        <v>10:40AM-2:20PM</v>
      </c>
      <c r="F324" s="20" t="str">
        <f>'1 - Staff Calendar View'!C$118</f>
        <v/>
      </c>
      <c r="G324" s="20" t="str">
        <f>IF('1 - Staff Calendar View'!C$119="-","-",'1 - Staff Calendar View'!C$119)</f>
        <v/>
      </c>
      <c r="H324" s="20" t="str">
        <f t="shared" si="2"/>
        <v>#REF!</v>
      </c>
    </row>
    <row r="325" ht="15.75" customHeight="1">
      <c r="A325" s="20" t="str">
        <f>'1 - Staff Calendar View'!$A$116</f>
        <v>Wk 19</v>
      </c>
      <c r="B325" s="22">
        <f>'1 - Staff Calendar View'!C$115</f>
        <v>46265</v>
      </c>
      <c r="C325" s="20" t="str">
        <f t="shared" si="1"/>
        <v>Mon</v>
      </c>
      <c r="D325" s="20" t="str">
        <f>'1 - Staff Calendar View'!$B$118</f>
        <v>Caulfield Drop-in</v>
      </c>
      <c r="E325" s="20" t="str">
        <f>VLOOKUP(D325,'1 - Staff Calendar View'!$I$49:$J$51,2,FALSE())</f>
        <v>10:40AM-2:20PM</v>
      </c>
      <c r="F325" s="20" t="str">
        <f>'1 - Staff Calendar View'!C$119</f>
        <v/>
      </c>
      <c r="G325" s="20" t="str">
        <f>IF('1 - Staff Calendar View'!C$118="-","-",'1 - Staff Calendar View'!C$118)</f>
        <v/>
      </c>
      <c r="H325" s="20" t="str">
        <f t="shared" si="2"/>
        <v>#REF!</v>
      </c>
    </row>
    <row r="326" ht="15.75" customHeight="1">
      <c r="A326" s="20" t="str">
        <f>'1 - Staff Calendar View'!$A$116</f>
        <v>Wk 19</v>
      </c>
      <c r="B326" s="22">
        <f>'1 - Staff Calendar View'!C$115</f>
        <v>46265</v>
      </c>
      <c r="C326" s="20" t="str">
        <f t="shared" si="1"/>
        <v>Mon</v>
      </c>
      <c r="D326" s="20" t="str">
        <f>'1 - Staff Calendar View'!$B$120</f>
        <v>Webinars</v>
      </c>
      <c r="E326" s="20" t="str">
        <f>VLOOKUP(D326,'1 - Staff Calendar View'!$I$49:$J$51,2,FALSE())</f>
        <v>4:00PM-5:00PM</v>
      </c>
      <c r="F326" s="20" t="str">
        <f>'1 - Staff Calendar View'!C$120</f>
        <v/>
      </c>
      <c r="G326" s="20" t="str">
        <f>IF('1 - Staff Calendar View'!C$121="-","-",'1 - Staff Calendar View'!C$121)</f>
        <v/>
      </c>
      <c r="H326" s="20" t="str">
        <f t="shared" si="2"/>
        <v>#REF!</v>
      </c>
    </row>
    <row r="327" ht="15.75" customHeight="1">
      <c r="A327" s="20" t="str">
        <f>'1 - Staff Calendar View'!$A$116</f>
        <v>Wk 19</v>
      </c>
      <c r="B327" s="22">
        <f>'1 - Staff Calendar View'!C$115</f>
        <v>46265</v>
      </c>
      <c r="C327" s="20" t="str">
        <f t="shared" si="1"/>
        <v>Mon</v>
      </c>
      <c r="D327" s="20" t="str">
        <f>'1 - Staff Calendar View'!$B$120</f>
        <v>Webinars</v>
      </c>
      <c r="E327" s="20" t="str">
        <f>VLOOKUP(D327,'1 - Staff Calendar View'!$I$49:$J$51,2,FALSE())</f>
        <v>4:00PM-5:00PM</v>
      </c>
      <c r="F327" s="20" t="str">
        <f>'1 - Staff Calendar View'!C$121</f>
        <v/>
      </c>
      <c r="G327" s="20" t="str">
        <f>IF('1 - Staff Calendar View'!C$120="-","-",'1 - Staff Calendar View'!C$120)</f>
        <v/>
      </c>
      <c r="H327" s="20" t="str">
        <f t="shared" si="2"/>
        <v>#REF!</v>
      </c>
    </row>
    <row r="328" ht="15.75" customHeight="1">
      <c r="A328" s="20" t="str">
        <f>'1 - Staff Calendar View'!$A$116</f>
        <v>Wk 19</v>
      </c>
      <c r="B328" s="22">
        <f>'1 - Staff Calendar View'!C$115</f>
        <v>46265</v>
      </c>
      <c r="C328" s="20" t="str">
        <f t="shared" si="1"/>
        <v>Mon</v>
      </c>
      <c r="D328" s="20" t="str">
        <f>'1 - Staff Calendar View'!$B$122</f>
        <v>In Person Session</v>
      </c>
      <c r="E328" s="20" t="str">
        <f>VLOOKUP(D328,'1 - Staff Calendar View'!$I$49:$J$51,2,FALSE())</f>
        <v>#N/A</v>
      </c>
      <c r="F328" s="20" t="str">
        <f>'1 - Staff Calendar View'!C$122</f>
        <v/>
      </c>
      <c r="G328" s="20" t="str">
        <f>IF('1 - Staff Calendar View'!C$123="-","-",'1 - Staff Calendar View'!C$123)</f>
        <v/>
      </c>
      <c r="H328" s="20" t="str">
        <f t="shared" si="2"/>
        <v>#REF!</v>
      </c>
    </row>
    <row r="329" ht="15.75" customHeight="1">
      <c r="A329" s="20" t="str">
        <f>'1 - Staff Calendar View'!$A$116</f>
        <v>Wk 19</v>
      </c>
      <c r="B329" s="22">
        <f>'1 - Staff Calendar View'!C$115</f>
        <v>46265</v>
      </c>
      <c r="C329" s="20" t="str">
        <f t="shared" si="1"/>
        <v>Mon</v>
      </c>
      <c r="D329" s="20" t="str">
        <f>'1 - Staff Calendar View'!$B$122</f>
        <v>In Person Session</v>
      </c>
      <c r="E329" s="20" t="str">
        <f>VLOOKUP(D329,'1 - Staff Calendar View'!$I$49:$J$51,2,FALSE())</f>
        <v>#N/A</v>
      </c>
      <c r="F329" s="20" t="str">
        <f>'1 - Staff Calendar View'!C$123</f>
        <v/>
      </c>
      <c r="G329" s="20" t="str">
        <f>IF('1 - Staff Calendar View'!C$122="-","-",'1 - Staff Calendar View'!C$122)</f>
        <v/>
      </c>
      <c r="H329" s="20" t="str">
        <f t="shared" si="2"/>
        <v>#REF!</v>
      </c>
    </row>
    <row r="330" ht="15.75" customHeight="1">
      <c r="A330" s="20" t="str">
        <f>'1 - Staff Calendar View'!$A$116</f>
        <v>Wk 19</v>
      </c>
      <c r="B330" s="22">
        <f>'1 - Staff Calendar View'!D$115</f>
        <v>46266</v>
      </c>
      <c r="C330" s="20" t="str">
        <f t="shared" si="1"/>
        <v>Tue</v>
      </c>
      <c r="D330" s="20" t="str">
        <f>'1 - Staff Calendar View'!$B$116</f>
        <v>Clayton Drop-in</v>
      </c>
      <c r="E330" s="20" t="str">
        <f>VLOOKUP(D330,'1 - Staff Calendar View'!$I$49:$J$51,2,FALSE())</f>
        <v>#N/A</v>
      </c>
      <c r="F330" s="20" t="str">
        <f>'1 - Staff Calendar View'!D$116</f>
        <v/>
      </c>
      <c r="G330" s="20" t="str">
        <f>IF('1 - Staff Calendar View'!D$117="-","-",'1 - Staff Calendar View'!D$117)</f>
        <v/>
      </c>
      <c r="H330" s="20" t="str">
        <f t="shared" si="2"/>
        <v>#REF!</v>
      </c>
    </row>
    <row r="331" ht="15.75" customHeight="1">
      <c r="A331" s="20" t="str">
        <f>'1 - Staff Calendar View'!$A$116</f>
        <v>Wk 19</v>
      </c>
      <c r="B331" s="22">
        <f>'1 - Staff Calendar View'!D$115</f>
        <v>46266</v>
      </c>
      <c r="C331" s="20" t="str">
        <f t="shared" si="1"/>
        <v>Tue</v>
      </c>
      <c r="D331" s="20" t="str">
        <f>'1 - Staff Calendar View'!$B$116</f>
        <v>Clayton Drop-in</v>
      </c>
      <c r="E331" s="20" t="str">
        <f>VLOOKUP(D331,'1 - Staff Calendar View'!$I$49:$J$51,2,FALSE())</f>
        <v>#N/A</v>
      </c>
      <c r="F331" s="20" t="str">
        <f>'1 - Staff Calendar View'!D$117</f>
        <v/>
      </c>
      <c r="G331" s="20" t="str">
        <f>IF('1 - Staff Calendar View'!D$116="-","-",'1 - Staff Calendar View'!D$116)</f>
        <v/>
      </c>
      <c r="H331" s="20" t="str">
        <f t="shared" si="2"/>
        <v>#REF!</v>
      </c>
    </row>
    <row r="332" ht="15.75" customHeight="1">
      <c r="A332" s="20" t="str">
        <f>'1 - Staff Calendar View'!$A$116</f>
        <v>Wk 19</v>
      </c>
      <c r="B332" s="22">
        <f>'1 - Staff Calendar View'!D$115</f>
        <v>46266</v>
      </c>
      <c r="C332" s="20" t="str">
        <f t="shared" si="1"/>
        <v>Tue</v>
      </c>
      <c r="D332" s="20" t="str">
        <f>'1 - Staff Calendar View'!$B$118</f>
        <v>Caulfield Drop-in</v>
      </c>
      <c r="E332" s="20" t="str">
        <f>VLOOKUP(D332,'1 - Staff Calendar View'!$I$49:$J$51,2,FALSE())</f>
        <v>10:40AM-2:20PM</v>
      </c>
      <c r="F332" s="20" t="str">
        <f>'1 - Staff Calendar View'!D$118</f>
        <v/>
      </c>
      <c r="G332" s="20" t="str">
        <f>IF('1 - Staff Calendar View'!D$119="-","-",'1 - Staff Calendar View'!D$119)</f>
        <v/>
      </c>
      <c r="H332" s="20" t="str">
        <f t="shared" si="2"/>
        <v>#REF!</v>
      </c>
    </row>
    <row r="333" ht="15.75" customHeight="1">
      <c r="A333" s="20" t="str">
        <f>'1 - Staff Calendar View'!$A$116</f>
        <v>Wk 19</v>
      </c>
      <c r="B333" s="22">
        <f>'1 - Staff Calendar View'!D$115</f>
        <v>46266</v>
      </c>
      <c r="C333" s="20" t="str">
        <f t="shared" si="1"/>
        <v>Tue</v>
      </c>
      <c r="D333" s="20" t="str">
        <f>'1 - Staff Calendar View'!$B$118</f>
        <v>Caulfield Drop-in</v>
      </c>
      <c r="E333" s="20" t="str">
        <f>VLOOKUP(D333,'1 - Staff Calendar View'!$I$49:$J$51,2,FALSE())</f>
        <v>10:40AM-2:20PM</v>
      </c>
      <c r="F333" s="20" t="str">
        <f>'1 - Staff Calendar View'!D$119</f>
        <v/>
      </c>
      <c r="G333" s="20" t="str">
        <f>IF('1 - Staff Calendar View'!D$118="-","-",'1 - Staff Calendar View'!D$118)</f>
        <v/>
      </c>
      <c r="H333" s="20" t="str">
        <f t="shared" si="2"/>
        <v>#REF!</v>
      </c>
    </row>
    <row r="334" ht="15.75" customHeight="1">
      <c r="A334" s="20" t="str">
        <f>'1 - Staff Calendar View'!$A$116</f>
        <v>Wk 19</v>
      </c>
      <c r="B334" s="22">
        <f>'1 - Staff Calendar View'!D$115</f>
        <v>46266</v>
      </c>
      <c r="C334" s="20" t="str">
        <f t="shared" si="1"/>
        <v>Tue</v>
      </c>
      <c r="D334" s="20" t="str">
        <f>'1 - Staff Calendar View'!$B$120</f>
        <v>Webinars</v>
      </c>
      <c r="E334" s="20" t="str">
        <f>VLOOKUP(D334,'1 - Staff Calendar View'!$I$49:$J$51,2,FALSE())</f>
        <v>4:00PM-5:00PM</v>
      </c>
      <c r="F334" s="20" t="str">
        <f>'1 - Staff Calendar View'!D$120</f>
        <v/>
      </c>
      <c r="G334" s="20" t="str">
        <f>IF('1 - Staff Calendar View'!D$121="-","-",'1 - Staff Calendar View'!D$121)</f>
        <v/>
      </c>
      <c r="H334" s="20" t="str">
        <f t="shared" si="2"/>
        <v>#REF!</v>
      </c>
    </row>
    <row r="335" ht="15.75" customHeight="1">
      <c r="A335" s="20" t="str">
        <f>'1 - Staff Calendar View'!$A$116</f>
        <v>Wk 19</v>
      </c>
      <c r="B335" s="22">
        <f>'1 - Staff Calendar View'!D$115</f>
        <v>46266</v>
      </c>
      <c r="C335" s="20" t="str">
        <f t="shared" si="1"/>
        <v>Tue</v>
      </c>
      <c r="D335" s="20" t="str">
        <f>'1 - Staff Calendar View'!$B$120</f>
        <v>Webinars</v>
      </c>
      <c r="E335" s="20" t="str">
        <f>VLOOKUP(D335,'1 - Staff Calendar View'!$I$49:$J$51,2,FALSE())</f>
        <v>4:00PM-5:00PM</v>
      </c>
      <c r="F335" s="20" t="str">
        <f>'1 - Staff Calendar View'!D$121</f>
        <v/>
      </c>
      <c r="G335" s="20" t="str">
        <f>IF('1 - Staff Calendar View'!D$120="-","-",'1 - Staff Calendar View'!D$120)</f>
        <v/>
      </c>
      <c r="H335" s="20" t="str">
        <f t="shared" si="2"/>
        <v>#REF!</v>
      </c>
    </row>
    <row r="336" ht="15.75" customHeight="1">
      <c r="A336" s="20" t="str">
        <f>'1 - Staff Calendar View'!$A$116</f>
        <v>Wk 19</v>
      </c>
      <c r="B336" s="22">
        <f>'1 - Staff Calendar View'!D$115</f>
        <v>46266</v>
      </c>
      <c r="C336" s="20" t="str">
        <f t="shared" si="1"/>
        <v>Tue</v>
      </c>
      <c r="D336" s="20" t="str">
        <f>'1 - Staff Calendar View'!$B$122</f>
        <v>In Person Session</v>
      </c>
      <c r="E336" s="20" t="str">
        <f>VLOOKUP(D336,'1 - Staff Calendar View'!$I$49:$J$51,2,FALSE())</f>
        <v>#N/A</v>
      </c>
      <c r="F336" s="20" t="str">
        <f>'1 - Staff Calendar View'!D$122</f>
        <v/>
      </c>
      <c r="G336" s="20" t="str">
        <f>IF('1 - Staff Calendar View'!D$123="-","-",'1 - Staff Calendar View'!D$123)</f>
        <v/>
      </c>
      <c r="H336" s="20" t="str">
        <f t="shared" si="2"/>
        <v>#REF!</v>
      </c>
    </row>
    <row r="337" ht="15.75" customHeight="1">
      <c r="A337" s="20" t="str">
        <f>'1 - Staff Calendar View'!$A$116</f>
        <v>Wk 19</v>
      </c>
      <c r="B337" s="22">
        <f>'1 - Staff Calendar View'!D$115</f>
        <v>46266</v>
      </c>
      <c r="C337" s="20" t="str">
        <f t="shared" si="1"/>
        <v>Tue</v>
      </c>
      <c r="D337" s="20" t="str">
        <f>'1 - Staff Calendar View'!$B$122</f>
        <v>In Person Session</v>
      </c>
      <c r="E337" s="20" t="str">
        <f>VLOOKUP(D337,'1 - Staff Calendar View'!$I$49:$J$51,2,FALSE())</f>
        <v>#N/A</v>
      </c>
      <c r="F337" s="20" t="str">
        <f>'1 - Staff Calendar View'!D$123</f>
        <v/>
      </c>
      <c r="G337" s="20" t="str">
        <f>IF('1 - Staff Calendar View'!D$122="-","-",'1 - Staff Calendar View'!D$122)</f>
        <v/>
      </c>
      <c r="H337" s="20" t="str">
        <f t="shared" si="2"/>
        <v>#REF!</v>
      </c>
    </row>
    <row r="338" ht="15.75" customHeight="1">
      <c r="A338" s="20" t="str">
        <f>'1 - Staff Calendar View'!$A$116</f>
        <v>Wk 19</v>
      </c>
      <c r="B338" s="22">
        <f>'1 - Staff Calendar View'!E$115</f>
        <v>46267</v>
      </c>
      <c r="C338" s="20" t="str">
        <f t="shared" si="1"/>
        <v>Wed</v>
      </c>
      <c r="D338" s="20" t="str">
        <f>'1 - Staff Calendar View'!$B$116</f>
        <v>Clayton Drop-in</v>
      </c>
      <c r="E338" s="20" t="str">
        <f>VLOOKUP(D338,'1 - Staff Calendar View'!$I$49:$J$51,2,FALSE())</f>
        <v>#N/A</v>
      </c>
      <c r="F338" s="20" t="str">
        <f>'1 - Staff Calendar View'!E$116</f>
        <v/>
      </c>
      <c r="G338" s="20" t="str">
        <f>IF('1 - Staff Calendar View'!E$117="-","-",'1 - Staff Calendar View'!E$117)</f>
        <v/>
      </c>
      <c r="H338" s="20" t="str">
        <f t="shared" si="2"/>
        <v>#REF!</v>
      </c>
    </row>
    <row r="339" ht="15.75" customHeight="1">
      <c r="A339" s="20" t="str">
        <f>'1 - Staff Calendar View'!$A$116</f>
        <v>Wk 19</v>
      </c>
      <c r="B339" s="22">
        <f>'1 - Staff Calendar View'!E$115</f>
        <v>46267</v>
      </c>
      <c r="C339" s="20" t="str">
        <f t="shared" si="1"/>
        <v>Wed</v>
      </c>
      <c r="D339" s="20" t="str">
        <f>'1 - Staff Calendar View'!$B$116</f>
        <v>Clayton Drop-in</v>
      </c>
      <c r="E339" s="20" t="str">
        <f>VLOOKUP(D339,'1 - Staff Calendar View'!$I$49:$J$51,2,FALSE())</f>
        <v>#N/A</v>
      </c>
      <c r="F339" s="20" t="str">
        <f>'1 - Staff Calendar View'!E$117</f>
        <v/>
      </c>
      <c r="G339" s="20" t="str">
        <f>IF('1 - Staff Calendar View'!E$116="-","-",'1 - Staff Calendar View'!E$116)</f>
        <v/>
      </c>
      <c r="H339" s="20" t="str">
        <f t="shared" si="2"/>
        <v>#REF!</v>
      </c>
    </row>
    <row r="340" ht="15.75" customHeight="1">
      <c r="A340" s="20" t="str">
        <f>'1 - Staff Calendar View'!$A$116</f>
        <v>Wk 19</v>
      </c>
      <c r="B340" s="22">
        <f>'1 - Staff Calendar View'!E$115</f>
        <v>46267</v>
      </c>
      <c r="C340" s="20" t="str">
        <f t="shared" si="1"/>
        <v>Wed</v>
      </c>
      <c r="D340" s="20" t="str">
        <f>'1 - Staff Calendar View'!$B$118</f>
        <v>Caulfield Drop-in</v>
      </c>
      <c r="E340" s="20" t="str">
        <f>VLOOKUP(D340,'1 - Staff Calendar View'!$I$49:$J$51,2,FALSE())</f>
        <v>10:40AM-2:20PM</v>
      </c>
      <c r="F340" s="20" t="str">
        <f>'1 - Staff Calendar View'!E$118</f>
        <v/>
      </c>
      <c r="G340" s="20" t="str">
        <f>IF('1 - Staff Calendar View'!E$119="-","-",'1 - Staff Calendar View'!E$119)</f>
        <v/>
      </c>
      <c r="H340" s="20" t="str">
        <f t="shared" si="2"/>
        <v>#REF!</v>
      </c>
    </row>
    <row r="341" ht="15.75" customHeight="1">
      <c r="A341" s="20" t="str">
        <f>'1 - Staff Calendar View'!$A$116</f>
        <v>Wk 19</v>
      </c>
      <c r="B341" s="22">
        <f>'1 - Staff Calendar View'!E$115</f>
        <v>46267</v>
      </c>
      <c r="C341" s="20" t="str">
        <f t="shared" si="1"/>
        <v>Wed</v>
      </c>
      <c r="D341" s="20" t="str">
        <f>'1 - Staff Calendar View'!$B$118</f>
        <v>Caulfield Drop-in</v>
      </c>
      <c r="E341" s="20" t="str">
        <f>VLOOKUP(D341,'1 - Staff Calendar View'!$I$49:$J$51,2,FALSE())</f>
        <v>10:40AM-2:20PM</v>
      </c>
      <c r="F341" s="20" t="str">
        <f>'1 - Staff Calendar View'!E$119</f>
        <v/>
      </c>
      <c r="G341" s="20" t="str">
        <f>IF('1 - Staff Calendar View'!E$118="-","-",'1 - Staff Calendar View'!E$118)</f>
        <v/>
      </c>
      <c r="H341" s="20" t="str">
        <f t="shared" si="2"/>
        <v>#REF!</v>
      </c>
    </row>
    <row r="342" ht="15.75" customHeight="1">
      <c r="A342" s="20" t="str">
        <f>'1 - Staff Calendar View'!$A$116</f>
        <v>Wk 19</v>
      </c>
      <c r="B342" s="22">
        <f>'1 - Staff Calendar View'!E$115</f>
        <v>46267</v>
      </c>
      <c r="C342" s="20" t="str">
        <f t="shared" si="1"/>
        <v>Wed</v>
      </c>
      <c r="D342" s="20" t="str">
        <f>'1 - Staff Calendar View'!$B$120</f>
        <v>Webinars</v>
      </c>
      <c r="E342" s="20" t="str">
        <f>VLOOKUP(D342,'1 - Staff Calendar View'!$I$49:$J$51,2,FALSE())</f>
        <v>4:00PM-5:00PM</v>
      </c>
      <c r="F342" s="20" t="str">
        <f>'1 - Staff Calendar View'!E$120</f>
        <v/>
      </c>
      <c r="G342" s="20" t="str">
        <f>IF('1 - Staff Calendar View'!E$121="-","-",'1 - Staff Calendar View'!E$121)</f>
        <v/>
      </c>
      <c r="H342" s="20" t="str">
        <f t="shared" si="2"/>
        <v>#REF!</v>
      </c>
    </row>
    <row r="343" ht="15.75" customHeight="1">
      <c r="A343" s="20" t="str">
        <f>'1 - Staff Calendar View'!$A$116</f>
        <v>Wk 19</v>
      </c>
      <c r="B343" s="22">
        <f>'1 - Staff Calendar View'!E$115</f>
        <v>46267</v>
      </c>
      <c r="C343" s="20" t="str">
        <f t="shared" si="1"/>
        <v>Wed</v>
      </c>
      <c r="D343" s="20" t="str">
        <f>'1 - Staff Calendar View'!$B$120</f>
        <v>Webinars</v>
      </c>
      <c r="E343" s="20" t="str">
        <f>VLOOKUP(D343,'1 - Staff Calendar View'!$I$49:$J$51,2,FALSE())</f>
        <v>4:00PM-5:00PM</v>
      </c>
      <c r="F343" s="20" t="str">
        <f>'1 - Staff Calendar View'!E$121</f>
        <v/>
      </c>
      <c r="G343" s="20" t="str">
        <f>IF('1 - Staff Calendar View'!E$120="-","-",'1 - Staff Calendar View'!E$120)</f>
        <v/>
      </c>
      <c r="H343" s="20" t="str">
        <f t="shared" si="2"/>
        <v>#REF!</v>
      </c>
    </row>
    <row r="344" ht="15.75" customHeight="1">
      <c r="A344" s="20" t="str">
        <f>'1 - Staff Calendar View'!$A$116</f>
        <v>Wk 19</v>
      </c>
      <c r="B344" s="22">
        <f>'1 - Staff Calendar View'!E$115</f>
        <v>46267</v>
      </c>
      <c r="C344" s="20" t="str">
        <f t="shared" si="1"/>
        <v>Wed</v>
      </c>
      <c r="D344" s="20" t="str">
        <f>'1 - Staff Calendar View'!$B$122</f>
        <v>In Person Session</v>
      </c>
      <c r="E344" s="20" t="str">
        <f>VLOOKUP(D344,'1 - Staff Calendar View'!$I$49:$J$51,2,FALSE())</f>
        <v>#N/A</v>
      </c>
      <c r="F344" s="20" t="str">
        <f>'1 - Staff Calendar View'!E$122</f>
        <v/>
      </c>
      <c r="G344" s="20" t="str">
        <f>IF('1 - Staff Calendar View'!E$123="-","-",'1 - Staff Calendar View'!E$123)</f>
        <v/>
      </c>
      <c r="H344" s="20" t="str">
        <f t="shared" si="2"/>
        <v>#REF!</v>
      </c>
    </row>
    <row r="345" ht="15.75" customHeight="1">
      <c r="A345" s="20" t="str">
        <f>'1 - Staff Calendar View'!$A$116</f>
        <v>Wk 19</v>
      </c>
      <c r="B345" s="22">
        <f>'1 - Staff Calendar View'!E$115</f>
        <v>46267</v>
      </c>
      <c r="C345" s="20" t="str">
        <f t="shared" si="1"/>
        <v>Wed</v>
      </c>
      <c r="D345" s="20" t="str">
        <f>'1 - Staff Calendar View'!$B$122</f>
        <v>In Person Session</v>
      </c>
      <c r="E345" s="20" t="str">
        <f>VLOOKUP(D345,'1 - Staff Calendar View'!$I$49:$J$51,2,FALSE())</f>
        <v>#N/A</v>
      </c>
      <c r="F345" s="20" t="str">
        <f>'1 - Staff Calendar View'!E$123</f>
        <v/>
      </c>
      <c r="G345" s="20" t="str">
        <f>IF('1 - Staff Calendar View'!E$122="-","-",'1 - Staff Calendar View'!E$122)</f>
        <v/>
      </c>
      <c r="H345" s="20" t="str">
        <f t="shared" si="2"/>
        <v>#REF!</v>
      </c>
    </row>
    <row r="346" ht="15.75" customHeight="1">
      <c r="A346" s="20" t="str">
        <f>'1 - Staff Calendar View'!$A$116</f>
        <v>Wk 19</v>
      </c>
      <c r="B346" s="22">
        <f>'1 - Staff Calendar View'!F$115</f>
        <v>46268</v>
      </c>
      <c r="C346" s="20" t="str">
        <f t="shared" si="1"/>
        <v>Thu</v>
      </c>
      <c r="D346" s="20" t="str">
        <f>'1 - Staff Calendar View'!$B$116</f>
        <v>Clayton Drop-in</v>
      </c>
      <c r="E346" s="20" t="str">
        <f>VLOOKUP(D346,'1 - Staff Calendar View'!$I$49:$J$51,2,FALSE())</f>
        <v>#N/A</v>
      </c>
      <c r="F346" s="20" t="str">
        <f>'1 - Staff Calendar View'!F$116</f>
        <v/>
      </c>
      <c r="G346" s="20" t="str">
        <f>IF('1 - Staff Calendar View'!F$117="-","-",'1 - Staff Calendar View'!F$117)</f>
        <v/>
      </c>
      <c r="H346" s="20" t="str">
        <f t="shared" si="2"/>
        <v>#REF!</v>
      </c>
    </row>
    <row r="347" ht="15.75" customHeight="1">
      <c r="A347" s="20" t="str">
        <f>'1 - Staff Calendar View'!$A$116</f>
        <v>Wk 19</v>
      </c>
      <c r="B347" s="22">
        <f>'1 - Staff Calendar View'!F$115</f>
        <v>46268</v>
      </c>
      <c r="C347" s="20" t="str">
        <f t="shared" si="1"/>
        <v>Thu</v>
      </c>
      <c r="D347" s="20" t="str">
        <f>'1 - Staff Calendar View'!$B$116</f>
        <v>Clayton Drop-in</v>
      </c>
      <c r="E347" s="20" t="str">
        <f>VLOOKUP(D347,'1 - Staff Calendar View'!$I$49:$J$51,2,FALSE())</f>
        <v>#N/A</v>
      </c>
      <c r="F347" s="20" t="str">
        <f>'1 - Staff Calendar View'!F$117</f>
        <v/>
      </c>
      <c r="G347" s="20" t="str">
        <f>IF('1 - Staff Calendar View'!F$116="-","-",'1 - Staff Calendar View'!F$116)</f>
        <v/>
      </c>
      <c r="H347" s="20" t="str">
        <f t="shared" si="2"/>
        <v>#REF!</v>
      </c>
    </row>
    <row r="348" ht="15.75" customHeight="1">
      <c r="A348" s="20" t="str">
        <f>'1 - Staff Calendar View'!$A$116</f>
        <v>Wk 19</v>
      </c>
      <c r="B348" s="22">
        <f>'1 - Staff Calendar View'!F$115</f>
        <v>46268</v>
      </c>
      <c r="C348" s="20" t="str">
        <f t="shared" si="1"/>
        <v>Thu</v>
      </c>
      <c r="D348" s="20" t="str">
        <f>'1 - Staff Calendar View'!$B$118</f>
        <v>Caulfield Drop-in</v>
      </c>
      <c r="E348" s="20" t="str">
        <f>VLOOKUP(D348,'1 - Staff Calendar View'!$I$49:$J$51,2,FALSE())</f>
        <v>10:40AM-2:20PM</v>
      </c>
      <c r="F348" s="20" t="str">
        <f>'1 - Staff Calendar View'!F$118</f>
        <v/>
      </c>
      <c r="G348" s="20" t="str">
        <f>IF('1 - Staff Calendar View'!F$119="-","-",'1 - Staff Calendar View'!F$119)</f>
        <v/>
      </c>
      <c r="H348" s="20" t="str">
        <f t="shared" si="2"/>
        <v>#REF!</v>
      </c>
    </row>
    <row r="349" ht="15.75" customHeight="1">
      <c r="A349" s="20" t="str">
        <f>'1 - Staff Calendar View'!$A$116</f>
        <v>Wk 19</v>
      </c>
      <c r="B349" s="22">
        <f>'1 - Staff Calendar View'!F$115</f>
        <v>46268</v>
      </c>
      <c r="C349" s="20" t="str">
        <f t="shared" si="1"/>
        <v>Thu</v>
      </c>
      <c r="D349" s="20" t="str">
        <f>'1 - Staff Calendar View'!$B$118</f>
        <v>Caulfield Drop-in</v>
      </c>
      <c r="E349" s="20" t="str">
        <f>VLOOKUP(D349,'1 - Staff Calendar View'!$I$49:$J$51,2,FALSE())</f>
        <v>10:40AM-2:20PM</v>
      </c>
      <c r="F349" s="20" t="str">
        <f>'1 - Staff Calendar View'!F$119</f>
        <v/>
      </c>
      <c r="G349" s="20" t="str">
        <f>IF('1 - Staff Calendar View'!F$118="-","-",'1 - Staff Calendar View'!F$118)</f>
        <v/>
      </c>
      <c r="H349" s="20" t="str">
        <f t="shared" si="2"/>
        <v>#REF!</v>
      </c>
    </row>
    <row r="350" ht="15.75" customHeight="1">
      <c r="A350" s="20" t="str">
        <f>'1 - Staff Calendar View'!$A$116</f>
        <v>Wk 19</v>
      </c>
      <c r="B350" s="22">
        <f>'1 - Staff Calendar View'!F$115</f>
        <v>46268</v>
      </c>
      <c r="C350" s="20" t="str">
        <f t="shared" si="1"/>
        <v>Thu</v>
      </c>
      <c r="D350" s="20" t="str">
        <f>'1 - Staff Calendar View'!$B$120</f>
        <v>Webinars</v>
      </c>
      <c r="E350" s="20" t="str">
        <f>VLOOKUP(D350,'1 - Staff Calendar View'!$I$49:$J$51,2,FALSE())</f>
        <v>4:00PM-5:00PM</v>
      </c>
      <c r="F350" s="20" t="str">
        <f>'1 - Staff Calendar View'!F$120</f>
        <v/>
      </c>
      <c r="G350" s="20" t="str">
        <f>IF('1 - Staff Calendar View'!F$121="-","-",'1 - Staff Calendar View'!F$121)</f>
        <v/>
      </c>
      <c r="H350" s="20" t="str">
        <f t="shared" si="2"/>
        <v>#REF!</v>
      </c>
    </row>
    <row r="351" ht="15.75" customHeight="1">
      <c r="A351" s="20" t="str">
        <f>'1 - Staff Calendar View'!$A$116</f>
        <v>Wk 19</v>
      </c>
      <c r="B351" s="22">
        <f>'1 - Staff Calendar View'!F$115</f>
        <v>46268</v>
      </c>
      <c r="C351" s="20" t="str">
        <f t="shared" si="1"/>
        <v>Thu</v>
      </c>
      <c r="D351" s="20" t="str">
        <f>'1 - Staff Calendar View'!$B$120</f>
        <v>Webinars</v>
      </c>
      <c r="E351" s="20" t="str">
        <f>VLOOKUP(D351,'1 - Staff Calendar View'!$I$49:$J$51,2,FALSE())</f>
        <v>4:00PM-5:00PM</v>
      </c>
      <c r="F351" s="20" t="str">
        <f>'1 - Staff Calendar View'!F$121</f>
        <v/>
      </c>
      <c r="G351" s="20" t="str">
        <f>IF('1 - Staff Calendar View'!F$120="-","-",'1 - Staff Calendar View'!F$120)</f>
        <v/>
      </c>
      <c r="H351" s="20" t="str">
        <f t="shared" si="2"/>
        <v>#REF!</v>
      </c>
    </row>
    <row r="352" ht="15.75" customHeight="1">
      <c r="A352" s="20" t="str">
        <f>'1 - Staff Calendar View'!$A$116</f>
        <v>Wk 19</v>
      </c>
      <c r="B352" s="22">
        <f>'1 - Staff Calendar View'!F$115</f>
        <v>46268</v>
      </c>
      <c r="C352" s="20" t="str">
        <f t="shared" si="1"/>
        <v>Thu</v>
      </c>
      <c r="D352" s="20" t="str">
        <f>'1 - Staff Calendar View'!$B$122</f>
        <v>In Person Session</v>
      </c>
      <c r="E352" s="20" t="str">
        <f>VLOOKUP(D352,'1 - Staff Calendar View'!$I$49:$J$51,2,FALSE())</f>
        <v>#N/A</v>
      </c>
      <c r="F352" s="20" t="str">
        <f>'1 - Staff Calendar View'!F$122</f>
        <v/>
      </c>
      <c r="G352" s="20" t="str">
        <f>IF('1 - Staff Calendar View'!F$123="-","-",'1 - Staff Calendar View'!F$123)</f>
        <v/>
      </c>
      <c r="H352" s="20" t="str">
        <f t="shared" si="2"/>
        <v>#REF!</v>
      </c>
    </row>
    <row r="353" ht="15.75" customHeight="1">
      <c r="A353" s="20" t="str">
        <f>'1 - Staff Calendar View'!$A$116</f>
        <v>Wk 19</v>
      </c>
      <c r="B353" s="22">
        <f>'1 - Staff Calendar View'!F$115</f>
        <v>46268</v>
      </c>
      <c r="C353" s="20" t="str">
        <f t="shared" si="1"/>
        <v>Thu</v>
      </c>
      <c r="D353" s="20" t="str">
        <f>'1 - Staff Calendar View'!$B$122</f>
        <v>In Person Session</v>
      </c>
      <c r="E353" s="20" t="str">
        <f>VLOOKUP(D353,'1 - Staff Calendar View'!$I$49:$J$51,2,FALSE())</f>
        <v>#N/A</v>
      </c>
      <c r="F353" s="20" t="str">
        <f>'1 - Staff Calendar View'!F$123</f>
        <v/>
      </c>
      <c r="G353" s="20" t="str">
        <f>IF('1 - Staff Calendar View'!F$122="-","-",'1 - Staff Calendar View'!F$122)</f>
        <v/>
      </c>
      <c r="H353" s="20" t="str">
        <f t="shared" si="2"/>
        <v>#REF!</v>
      </c>
    </row>
    <row r="354" ht="15.75" customHeight="1">
      <c r="A354" s="20" t="str">
        <f>'1 - Staff Calendar View'!$A$116</f>
        <v>Wk 19</v>
      </c>
      <c r="B354" s="22">
        <f>'1 - Staff Calendar View'!G$115</f>
        <v>46269</v>
      </c>
      <c r="C354" s="20" t="str">
        <f t="shared" si="1"/>
        <v>Fri</v>
      </c>
      <c r="D354" s="20" t="str">
        <f>'1 - Staff Calendar View'!$B$116</f>
        <v>Clayton Drop-in</v>
      </c>
      <c r="E354" s="20" t="str">
        <f>VLOOKUP(D354,'1 - Staff Calendar View'!$I$49:$J$51,2,FALSE())</f>
        <v>#N/A</v>
      </c>
      <c r="F354" s="20" t="str">
        <f>'1 - Staff Calendar View'!G$116</f>
        <v/>
      </c>
      <c r="G354" s="20" t="str">
        <f>IF('1 - Staff Calendar View'!G$117="-","-",'1 - Staff Calendar View'!G$117)</f>
        <v/>
      </c>
      <c r="H354" s="20" t="str">
        <f t="shared" si="2"/>
        <v>#REF!</v>
      </c>
    </row>
    <row r="355" ht="15.75" customHeight="1">
      <c r="A355" s="20" t="str">
        <f>'1 - Staff Calendar View'!$A$116</f>
        <v>Wk 19</v>
      </c>
      <c r="B355" s="22">
        <f>'1 - Staff Calendar View'!G$115</f>
        <v>46269</v>
      </c>
      <c r="C355" s="20" t="str">
        <f t="shared" si="1"/>
        <v>Fri</v>
      </c>
      <c r="D355" s="20" t="str">
        <f>'1 - Staff Calendar View'!$B$116</f>
        <v>Clayton Drop-in</v>
      </c>
      <c r="E355" s="20" t="str">
        <f>VLOOKUP(D355,'1 - Staff Calendar View'!$I$49:$J$51,2,FALSE())</f>
        <v>#N/A</v>
      </c>
      <c r="F355" s="20" t="str">
        <f>'1 - Staff Calendar View'!G$117</f>
        <v/>
      </c>
      <c r="G355" s="20" t="str">
        <f>IF('1 - Staff Calendar View'!G$116="-","-",'1 - Staff Calendar View'!G$116)</f>
        <v/>
      </c>
      <c r="H355" s="20" t="str">
        <f t="shared" si="2"/>
        <v>#REF!</v>
      </c>
    </row>
    <row r="356" ht="15.75" customHeight="1">
      <c r="A356" s="20" t="str">
        <f>'1 - Staff Calendar View'!$A$116</f>
        <v>Wk 19</v>
      </c>
      <c r="B356" s="22">
        <f>'1 - Staff Calendar View'!G$115</f>
        <v>46269</v>
      </c>
      <c r="C356" s="20" t="str">
        <f t="shared" si="1"/>
        <v>Fri</v>
      </c>
      <c r="D356" s="20" t="str">
        <f>'1 - Staff Calendar View'!$B$118</f>
        <v>Caulfield Drop-in</v>
      </c>
      <c r="E356" s="20" t="str">
        <f>VLOOKUP(D356,'1 - Staff Calendar View'!$I$49:$J$51,2,FALSE())</f>
        <v>10:40AM-2:20PM</v>
      </c>
      <c r="F356" s="20" t="str">
        <f>'1 - Staff Calendar View'!G$118</f>
        <v/>
      </c>
      <c r="G356" s="20" t="str">
        <f>IF('1 - Staff Calendar View'!G$119="-","-",'1 - Staff Calendar View'!G$119)</f>
        <v/>
      </c>
      <c r="H356" s="20" t="str">
        <f t="shared" si="2"/>
        <v>#REF!</v>
      </c>
    </row>
    <row r="357" ht="15.75" customHeight="1">
      <c r="A357" s="20" t="str">
        <f>'1 - Staff Calendar View'!$A$116</f>
        <v>Wk 19</v>
      </c>
      <c r="B357" s="22">
        <f>'1 - Staff Calendar View'!G$115</f>
        <v>46269</v>
      </c>
      <c r="C357" s="20" t="str">
        <f t="shared" si="1"/>
        <v>Fri</v>
      </c>
      <c r="D357" s="20" t="str">
        <f>'1 - Staff Calendar View'!$B$118</f>
        <v>Caulfield Drop-in</v>
      </c>
      <c r="E357" s="20" t="str">
        <f>VLOOKUP(D357,'1 - Staff Calendar View'!$I$49:$J$51,2,FALSE())</f>
        <v>10:40AM-2:20PM</v>
      </c>
      <c r="F357" s="20" t="str">
        <f>'1 - Staff Calendar View'!G$119</f>
        <v/>
      </c>
      <c r="G357" s="20" t="str">
        <f>IF('1 - Staff Calendar View'!G$118="-","-",'1 - Staff Calendar View'!G$118)</f>
        <v/>
      </c>
      <c r="H357" s="20" t="str">
        <f t="shared" si="2"/>
        <v>#REF!</v>
      </c>
    </row>
    <row r="358" ht="15.75" customHeight="1">
      <c r="A358" s="20" t="str">
        <f>'1 - Staff Calendar View'!$A$116</f>
        <v>Wk 19</v>
      </c>
      <c r="B358" s="22">
        <f>'1 - Staff Calendar View'!G$115</f>
        <v>46269</v>
      </c>
      <c r="C358" s="20" t="str">
        <f t="shared" si="1"/>
        <v>Fri</v>
      </c>
      <c r="D358" s="20" t="str">
        <f>'1 - Staff Calendar View'!$B$120</f>
        <v>Webinars</v>
      </c>
      <c r="E358" s="20" t="str">
        <f>VLOOKUP(D358,'1 - Staff Calendar View'!$I$49:$J$51,2,FALSE())</f>
        <v>4:00PM-5:00PM</v>
      </c>
      <c r="F358" s="20" t="str">
        <f>'1 - Staff Calendar View'!G$120</f>
        <v/>
      </c>
      <c r="G358" s="20" t="str">
        <f>IF('1 - Staff Calendar View'!G$121="-","-",'1 - Staff Calendar View'!G$121)</f>
        <v/>
      </c>
      <c r="H358" s="20" t="str">
        <f t="shared" si="2"/>
        <v>#REF!</v>
      </c>
    </row>
    <row r="359" ht="15.75" customHeight="1">
      <c r="A359" s="20" t="str">
        <f>'1 - Staff Calendar View'!$A$116</f>
        <v>Wk 19</v>
      </c>
      <c r="B359" s="22">
        <f>'1 - Staff Calendar View'!G$115</f>
        <v>46269</v>
      </c>
      <c r="C359" s="20" t="str">
        <f t="shared" si="1"/>
        <v>Fri</v>
      </c>
      <c r="D359" s="20" t="str">
        <f>'1 - Staff Calendar View'!$B$120</f>
        <v>Webinars</v>
      </c>
      <c r="E359" s="20" t="str">
        <f>VLOOKUP(D359,'1 - Staff Calendar View'!$I$49:$J$51,2,FALSE())</f>
        <v>4:00PM-5:00PM</v>
      </c>
      <c r="F359" s="20" t="str">
        <f>'1 - Staff Calendar View'!G$121</f>
        <v/>
      </c>
      <c r="G359" s="20" t="str">
        <f>IF('1 - Staff Calendar View'!G$120="-","-",'1 - Staff Calendar View'!G$120)</f>
        <v/>
      </c>
      <c r="H359" s="20" t="str">
        <f t="shared" si="2"/>
        <v>#REF!</v>
      </c>
    </row>
    <row r="360" ht="15.75" customHeight="1">
      <c r="A360" s="20" t="str">
        <f>'1 - Staff Calendar View'!$A$116</f>
        <v>Wk 19</v>
      </c>
      <c r="B360" s="22">
        <f>'1 - Staff Calendar View'!G$115</f>
        <v>46269</v>
      </c>
      <c r="C360" s="20" t="str">
        <f t="shared" si="1"/>
        <v>Fri</v>
      </c>
      <c r="D360" s="20" t="str">
        <f>'1 - Staff Calendar View'!$B$122</f>
        <v>In Person Session</v>
      </c>
      <c r="E360" s="20" t="str">
        <f>VLOOKUP(D360,'1 - Staff Calendar View'!$I$49:$J$51,2,FALSE())</f>
        <v>#N/A</v>
      </c>
      <c r="F360" s="20" t="str">
        <f>'1 - Staff Calendar View'!G$122</f>
        <v/>
      </c>
      <c r="G360" s="20" t="str">
        <f>IF('1 - Staff Calendar View'!G$123="-","-",'1 - Staff Calendar View'!G$123)</f>
        <v/>
      </c>
      <c r="H360" s="20" t="str">
        <f t="shared" si="2"/>
        <v>#REF!</v>
      </c>
    </row>
    <row r="361" ht="15.75" customHeight="1">
      <c r="A361" s="20" t="str">
        <f>'1 - Staff Calendar View'!$A$116</f>
        <v>Wk 19</v>
      </c>
      <c r="B361" s="22">
        <f>'1 - Staff Calendar View'!G$115</f>
        <v>46269</v>
      </c>
      <c r="C361" s="20" t="str">
        <f t="shared" si="1"/>
        <v>Fri</v>
      </c>
      <c r="D361" s="20" t="str">
        <f>'1 - Staff Calendar View'!$B$122</f>
        <v>In Person Session</v>
      </c>
      <c r="E361" s="20" t="str">
        <f>VLOOKUP(D361,'1 - Staff Calendar View'!$I$49:$J$51,2,FALSE())</f>
        <v>#N/A</v>
      </c>
      <c r="F361" s="20" t="str">
        <f>'1 - Staff Calendar View'!G$123</f>
        <v/>
      </c>
      <c r="G361" s="20" t="str">
        <f>IF('1 - Staff Calendar View'!G$122="-","-",'1 - Staff Calendar View'!G$122)</f>
        <v/>
      </c>
      <c r="H361" s="20" t="str">
        <f t="shared" si="2"/>
        <v>#REF!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paperSize="9" orientation="portrait"/>
  <drawing r:id="rId1"/>
</worksheet>
</file>